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ndlb/projects/userSupport/falcon/bigRun/dfn_2025/"/>
    </mc:Choice>
  </mc:AlternateContent>
  <xr:revisionPtr revIDLastSave="0" documentId="13_ncr:1_{14E1ED50-B46A-F845-B825-8B357E5E145F}" xr6:coauthVersionLast="47" xr6:coauthVersionMax="47" xr10:uidLastSave="{00000000-0000-0000-0000-000000000000}"/>
  <bookViews>
    <workbookView xWindow="1220" yWindow="500" windowWidth="31120" windowHeight="19860" xr2:uid="{307C5E76-A9E2-574D-96ED-CEB1C20119AD}"/>
  </bookViews>
  <sheets>
    <sheet name="inj_prod_pts" sheetId="1" r:id="rId1"/>
    <sheet name="inj_pts_case_A" sheetId="2" r:id="rId2"/>
    <sheet name="prod_pts_case_A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1" i="1"/>
  <c r="L20" i="1"/>
  <c r="L19" i="1"/>
  <c r="L18" i="1"/>
  <c r="L17" i="1"/>
  <c r="K22" i="1"/>
  <c r="K21" i="1"/>
  <c r="K20" i="1"/>
  <c r="K19" i="1"/>
  <c r="K18" i="1"/>
  <c r="K17" i="1"/>
  <c r="I22" i="1"/>
  <c r="I21" i="1"/>
  <c r="I20" i="1"/>
  <c r="I19" i="1"/>
  <c r="I18" i="1"/>
  <c r="I17" i="1"/>
  <c r="J22" i="1"/>
  <c r="J21" i="1"/>
  <c r="J20" i="1"/>
  <c r="J19" i="1"/>
  <c r="J18" i="1"/>
  <c r="L13" i="1"/>
  <c r="L12" i="1"/>
  <c r="L11" i="1"/>
  <c r="L10" i="1"/>
  <c r="L9" i="1"/>
  <c r="L8" i="1"/>
  <c r="L7" i="1"/>
  <c r="L6" i="1"/>
  <c r="L5" i="1"/>
  <c r="K13" i="1"/>
  <c r="K12" i="1"/>
  <c r="K11" i="1"/>
  <c r="K10" i="1"/>
  <c r="K9" i="1"/>
  <c r="K8" i="1"/>
  <c r="K7" i="1"/>
  <c r="K6" i="1"/>
  <c r="K5" i="1"/>
  <c r="J13" i="1"/>
  <c r="J12" i="1"/>
  <c r="J11" i="1"/>
  <c r="J10" i="1"/>
  <c r="J9" i="1"/>
  <c r="J8" i="1"/>
  <c r="J7" i="1"/>
  <c r="J6" i="1"/>
  <c r="J5" i="1"/>
  <c r="J4" i="1"/>
  <c r="I13" i="1"/>
  <c r="I12" i="1"/>
  <c r="I11" i="1"/>
  <c r="I10" i="1"/>
  <c r="I9" i="1"/>
  <c r="I8" i="1"/>
  <c r="I7" i="1"/>
  <c r="I6" i="1"/>
  <c r="I5" i="1"/>
  <c r="I4" i="1"/>
  <c r="L4" i="1"/>
  <c r="K4" i="1"/>
  <c r="J17" i="1"/>
  <c r="G45" i="1"/>
  <c r="E35" i="1"/>
  <c r="E36" i="1"/>
  <c r="F36" i="1" s="1"/>
  <c r="E37" i="1"/>
  <c r="F37" i="1" s="1"/>
  <c r="H37" i="1" s="1"/>
  <c r="E38" i="1"/>
  <c r="E39" i="1"/>
  <c r="F39" i="1" s="1"/>
  <c r="H39" i="1" s="1"/>
  <c r="E40" i="1"/>
  <c r="F40" i="1" s="1"/>
  <c r="E41" i="1"/>
  <c r="F41" i="1" s="1"/>
  <c r="H41" i="1" s="1"/>
  <c r="E42" i="1"/>
  <c r="F42" i="1" s="1"/>
  <c r="G42" i="1" s="1"/>
  <c r="E43" i="1"/>
  <c r="F43" i="1" s="1"/>
  <c r="E44" i="1"/>
  <c r="E45" i="1"/>
  <c r="F45" i="1" s="1"/>
  <c r="H45" i="1" s="1"/>
  <c r="E46" i="1"/>
  <c r="F46" i="1" s="1"/>
  <c r="G46" i="1" s="1"/>
  <c r="E34" i="1"/>
  <c r="I70" i="1"/>
  <c r="I69" i="1"/>
  <c r="I68" i="1"/>
  <c r="I67" i="1"/>
  <c r="I66" i="1"/>
  <c r="I65" i="1"/>
  <c r="I64" i="1"/>
  <c r="I63" i="1"/>
  <c r="A60" i="1"/>
  <c r="I58" i="1"/>
  <c r="A58" i="1"/>
  <c r="I57" i="1"/>
  <c r="I56" i="1"/>
  <c r="A56" i="1"/>
  <c r="I55" i="1"/>
  <c r="A55" i="1"/>
  <c r="A54" i="1"/>
  <c r="I46" i="1"/>
  <c r="I45" i="1"/>
  <c r="I44" i="1"/>
  <c r="F44" i="1"/>
  <c r="H44" i="1" s="1"/>
  <c r="I43" i="1"/>
  <c r="I42" i="1"/>
  <c r="I41" i="1"/>
  <c r="I40" i="1"/>
  <c r="I39" i="1"/>
  <c r="I38" i="1"/>
  <c r="F38" i="1"/>
  <c r="H38" i="1" s="1"/>
  <c r="B38" i="1"/>
  <c r="I37" i="1"/>
  <c r="B37" i="1"/>
  <c r="I36" i="1"/>
  <c r="B36" i="1"/>
  <c r="I35" i="1"/>
  <c r="F35" i="1"/>
  <c r="H35" i="1" s="1"/>
  <c r="B35" i="1"/>
  <c r="I34" i="1"/>
  <c r="F34" i="1"/>
  <c r="H34" i="1" s="1"/>
  <c r="B34" i="1"/>
  <c r="H46" i="1" l="1"/>
  <c r="H40" i="1"/>
  <c r="G40" i="1"/>
  <c r="H36" i="1"/>
  <c r="K36" i="1" s="1"/>
  <c r="G36" i="1"/>
  <c r="J36" i="1" s="1"/>
  <c r="G44" i="1"/>
  <c r="H43" i="1"/>
  <c r="K43" i="1" s="1"/>
  <c r="G41" i="1"/>
  <c r="J41" i="1" s="1"/>
  <c r="H42" i="1"/>
  <c r="K42" i="1" s="1"/>
  <c r="L42" i="1" s="1"/>
  <c r="G39" i="1"/>
  <c r="J39" i="1" s="1"/>
  <c r="G38" i="1"/>
  <c r="J38" i="1" s="1"/>
  <c r="G37" i="1"/>
  <c r="J37" i="1" s="1"/>
  <c r="G34" i="1"/>
  <c r="G35" i="1"/>
  <c r="G43" i="1"/>
  <c r="K40" i="1"/>
  <c r="J46" i="1"/>
  <c r="K39" i="1"/>
  <c r="K44" i="1"/>
  <c r="J44" i="1"/>
  <c r="K45" i="1"/>
  <c r="L45" i="1" s="1"/>
  <c r="J45" i="1"/>
  <c r="K35" i="1"/>
  <c r="J35" i="1"/>
  <c r="K41" i="1"/>
  <c r="K37" i="1"/>
  <c r="J42" i="1"/>
  <c r="K34" i="1"/>
  <c r="J34" i="1"/>
  <c r="K38" i="1"/>
  <c r="K46" i="1"/>
  <c r="J40" i="1"/>
  <c r="J43" i="1"/>
  <c r="L40" i="1" l="1"/>
  <c r="L43" i="1"/>
  <c r="L41" i="1"/>
  <c r="L38" i="1"/>
  <c r="L44" i="1"/>
  <c r="L36" i="1"/>
  <c r="L46" i="1"/>
  <c r="L35" i="1"/>
  <c r="L37" i="1"/>
  <c r="L39" i="1"/>
</calcChain>
</file>

<file path=xl/sharedStrings.xml><?xml version="1.0" encoding="utf-8"?>
<sst xmlns="http://schemas.openxmlformats.org/spreadsheetml/2006/main" count="213" uniqueCount="106">
  <si>
    <t>BELOW IS FROM HARIS z-data.  Perforation_zones_16B_with_xyz.csv and Perforation_zones_16A_with_xyz.csv</t>
  </si>
  <si>
    <t>Well ID</t>
  </si>
  <si>
    <t>From</t>
  </si>
  <si>
    <t>to</t>
  </si>
  <si>
    <t>Stage</t>
  </si>
  <si>
    <t>Out_Flow %</t>
  </si>
  <si>
    <t>Note</t>
  </si>
  <si>
    <t>start_z</t>
  </si>
  <si>
    <t>end_z</t>
  </si>
  <si>
    <t>diff_start_z</t>
  </si>
  <si>
    <t>diff_end_z</t>
  </si>
  <si>
    <t>ref_start_z</t>
  </si>
  <si>
    <t>ref_end_z</t>
  </si>
  <si>
    <t>16A(78)-32</t>
  </si>
  <si>
    <t>Stage 1</t>
  </si>
  <si>
    <t>Stage 1-6: 33.92; total inflow rate 15 bpm; injection temp 100 F</t>
  </si>
  <si>
    <t>Stage 1: 10,787 ‚Äì 10,987 ft MD (Open-hole)</t>
  </si>
  <si>
    <t>Stage 2</t>
  </si>
  <si>
    <t>Stage 1-6: 33.92</t>
  </si>
  <si>
    <t>‚Ä¢ Stage 2: 10,560 ‚Äì 10,580 ft MD (Perforation interval)</t>
  </si>
  <si>
    <t>Stage 3</t>
  </si>
  <si>
    <t>‚Ä¢ Stage 3: 10,120 ‚Äì 10,140 ft MD (Perforation interval)</t>
  </si>
  <si>
    <t>Stage 4</t>
  </si>
  <si>
    <t>‚Ä¢ Stage 4: 10,070 ‚Äì 10,076 ft MD (Perforation interval)</t>
  </si>
  <si>
    <t>Stage 5</t>
  </si>
  <si>
    <t>‚Ä¢ Stage 5: 10,020 ‚Äì 10,026 ft MD (Perforation interval)</t>
  </si>
  <si>
    <t>Stage 6</t>
  </si>
  <si>
    <t>‚Ä¢ Stage 6: 9,959 ‚Äì 9,976 ft MD (2 Perforation clusters); didn't take proppant</t>
  </si>
  <si>
    <t>Stage 7</t>
  </si>
  <si>
    <t>‚Ä¢ Stage 7: 9,798 ‚Äì 9,901 ft MD (3 Perforation clusters); didn't take proppant</t>
  </si>
  <si>
    <t>Stage 8</t>
  </si>
  <si>
    <t>‚Ä¢ Stage 8: 9,545 ‚Äì 9,723 ft MD (8 Perforation clusters)</t>
  </si>
  <si>
    <t>Stage 9</t>
  </si>
  <si>
    <t>‚Ä¢ Stage 9: 9,320 ‚Äì 9,493 ft MD (8 Perforation clusters)</t>
  </si>
  <si>
    <t>Stage 10</t>
  </si>
  <si>
    <t>‚Ä¢ Stage 10: 9,270 ‚Äì 9,276 ft MD (Perforation interval)</t>
  </si>
  <si>
    <t>16B(78)-32</t>
  </si>
  <si>
    <t>Stage 0</t>
  </si>
  <si>
    <t>Open hole, 10208 - 10947 ft, these messurements are assumed to be referenced from KB (31.5'), from and to are corrected for KB.</t>
  </si>
  <si>
    <t>‚Ä¢ Stage 1: 9,690 ‚Äì 9,773 ft MD, these messurements are assumed to be referenced from KB (31.5'), from and to are corrected for KB.</t>
  </si>
  <si>
    <t>‚Ä¢ Stage 2: 9,429 ‚Äì 9,512 ft MD, these messurements are assumed to be referenced from KB (31.5'), from and to are corrected for KB.</t>
  </si>
  <si>
    <t>‚Ä¢ Stage 3: 9,265 ‚Äì 9,393 ft MD, these messurements are assumed to be referenced from KB (31.5'), from and to are corrected for KB.</t>
  </si>
  <si>
    <t>‚Ä¢ Stage 4: 8,958 ‚Äì 9,058 ft MD, these messurements are assumed to be referenced from KB (31.5'), from and to are corrected for KB.</t>
  </si>
  <si>
    <t>98.8%; Outflow rate as per report 12.5 bpm</t>
  </si>
  <si>
    <t>‚Ä¢ Stage 5: 8,774 ‚Äì 8,883 ft MD; Outflow rate: no proppant; data suggest max of 8; these messurements are assumed to be referenced from KB (31.5'), from and to are corrected for KB.</t>
  </si>
  <si>
    <t>x16</t>
  </si>
  <si>
    <t>y16</t>
  </si>
  <si>
    <t>z16</t>
  </si>
  <si>
    <t>These points are the last value I have for well 16A so they should be the end value from the stages</t>
  </si>
  <si>
    <t>The stages are measured in distance along the well.  So if I am starting at the bottom and moving up the well I need to adjust them by the angle of the well to get the correct z value.</t>
  </si>
  <si>
    <t>I am using the midpoint of the zone to compare to plane intersections.</t>
  </si>
  <si>
    <t>Aleta</t>
  </si>
  <si>
    <t>Percent of Flow</t>
  </si>
  <si>
    <t>start(ft)</t>
  </si>
  <si>
    <t>end(ft)</t>
  </si>
  <si>
    <t>distToEnd</t>
  </si>
  <si>
    <t>diffToEnd(m)</t>
  </si>
  <si>
    <t>z</t>
  </si>
  <si>
    <t>z25deg</t>
  </si>
  <si>
    <t>zoneLength(m)</t>
  </si>
  <si>
    <t>middle</t>
  </si>
  <si>
    <t>middle65</t>
  </si>
  <si>
    <t>spacing</t>
  </si>
  <si>
    <t>9-2</t>
  </si>
  <si>
    <t>9-4</t>
  </si>
  <si>
    <t>9-5</t>
  </si>
  <si>
    <t>9-6</t>
  </si>
  <si>
    <t>9-7</t>
  </si>
  <si>
    <t>9-8</t>
  </si>
  <si>
    <t>10</t>
  </si>
  <si>
    <t>These are the answers I would use for injection because they have exits</t>
  </si>
  <si>
    <t>index</t>
  </si>
  <si>
    <t>fractureID</t>
  </si>
  <si>
    <t>frac spacing</t>
  </si>
  <si>
    <t>Trying to match the fracture spacing to the stage spacing.</t>
  </si>
  <si>
    <t>1AHF1</t>
  </si>
  <si>
    <t>2AHF1</t>
  </si>
  <si>
    <t>3</t>
  </si>
  <si>
    <t>2AFMI2</t>
  </si>
  <si>
    <t>3AHF1</t>
  </si>
  <si>
    <t>This one doesnot intersect production</t>
  </si>
  <si>
    <t>4AHF1</t>
  </si>
  <si>
    <t>This should be zone 5 but the spacing is too far</t>
  </si>
  <si>
    <t>6AFMI1</t>
  </si>
  <si>
    <t>6AMS2</t>
  </si>
  <si>
    <t>7AHF1</t>
  </si>
  <si>
    <t>7AFMI2</t>
  </si>
  <si>
    <t>7AFMI3</t>
  </si>
  <si>
    <t>7AFMI4</t>
  </si>
  <si>
    <t>8AFMI1</t>
  </si>
  <si>
    <t>8AHF2</t>
  </si>
  <si>
    <t>8AFMI3</t>
  </si>
  <si>
    <t>9AHF1</t>
  </si>
  <si>
    <t>9AHF2</t>
  </si>
  <si>
    <t>9AHF3</t>
  </si>
  <si>
    <t>These are locations where the new DFN from 3/15/25 intersects well 16A.</t>
  </si>
  <si>
    <t>nvec</t>
  </si>
  <si>
    <t>Vector along well:</t>
  </si>
  <si>
    <t>x</t>
  </si>
  <si>
    <t>y</t>
  </si>
  <si>
    <t>From March 15, 2025</t>
  </si>
  <si>
    <t>INJECTION POINTS</t>
  </si>
  <si>
    <t>PRODUCTION POINTS</t>
  </si>
  <si>
    <t>These are my best guess based on frac spacing but there is an extra</t>
  </si>
  <si>
    <t>The spacing here is too big.</t>
  </si>
  <si>
    <t>THIS IS THE DATA I AM USING FOR THE SIMULATION INTERSECTIONS.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</si>
</sst>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indexed="8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9" fontId="0" fillId="0" borderId="7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ACE8-C59E-1841-B4EC-B26D7C791C62}">
  <dimension ref="A1:P88"/>
  <sheetViews>
    <sheetView tabSelected="1" workbookViewId="0">
      <selection activeCell="P38" sqref="P38"/>
    </sheetView>
  </sheetViews>
  <sheetFormatPr baseColWidth="10" defaultRowHeight="16" x14ac:dyDescent="0.2"/>
  <sheetData>
    <row r="1" spans="1:12" x14ac:dyDescent="0.2">
      <c r="A1" t="s">
        <v>0</v>
      </c>
    </row>
    <row r="3" spans="1:12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">
      <c r="A4" s="2" t="s">
        <v>13</v>
      </c>
      <c r="B4" s="2">
        <v>3287.8775000000001</v>
      </c>
      <c r="C4" s="2">
        <v>3348.84</v>
      </c>
      <c r="D4" s="2" t="s">
        <v>14</v>
      </c>
      <c r="E4" s="2" t="s">
        <v>15</v>
      </c>
      <c r="F4" s="2" t="s">
        <v>16</v>
      </c>
      <c r="G4" s="2">
        <v>-931.39068999999995</v>
      </c>
      <c r="H4" s="2">
        <v>-953.10392999999999</v>
      </c>
      <c r="I4" s="3">
        <f>G4-$H$4</f>
        <v>21.713240000000042</v>
      </c>
      <c r="J4" s="3">
        <f>H4-$H$4</f>
        <v>0</v>
      </c>
      <c r="K4" s="3">
        <f>I4+$C$30</f>
        <v>225.23104660000004</v>
      </c>
      <c r="L4" s="3">
        <f>J4+$C$30</f>
        <v>203.5178066</v>
      </c>
    </row>
    <row r="5" spans="1:12" x14ac:dyDescent="0.2">
      <c r="A5" s="4" t="s">
        <v>13</v>
      </c>
      <c r="B5" s="4">
        <v>3218.6878999999999</v>
      </c>
      <c r="C5" s="4">
        <v>3224.7838999999999</v>
      </c>
      <c r="D5" s="4" t="s">
        <v>17</v>
      </c>
      <c r="E5" s="4" t="s">
        <v>18</v>
      </c>
      <c r="F5" s="4" t="s">
        <v>19</v>
      </c>
      <c r="G5" s="4">
        <v>-906.60261000000003</v>
      </c>
      <c r="H5" s="4">
        <v>-908.88679999999999</v>
      </c>
      <c r="I5" s="5">
        <f t="shared" ref="I5:I13" si="0">G5-$H$4</f>
        <v>46.501319999999964</v>
      </c>
      <c r="J5" s="5">
        <f t="shared" ref="J5:J13" si="1">H5-$H$4</f>
        <v>44.217129999999997</v>
      </c>
      <c r="K5" s="5">
        <f t="shared" ref="K5:K13" si="2">I5+$C$30</f>
        <v>250.01912659999996</v>
      </c>
      <c r="L5" s="5">
        <f t="shared" ref="L5:L13" si="3">J5+$C$30</f>
        <v>247.7349366</v>
      </c>
    </row>
    <row r="6" spans="1:12" x14ac:dyDescent="0.2">
      <c r="A6" s="6" t="s">
        <v>13</v>
      </c>
      <c r="B6" s="6">
        <v>3084.5758999999998</v>
      </c>
      <c r="C6" s="6">
        <v>3090.6718999999998</v>
      </c>
      <c r="D6" s="6" t="s">
        <v>20</v>
      </c>
      <c r="E6" s="6" t="s">
        <v>18</v>
      </c>
      <c r="F6" s="6" t="s">
        <v>21</v>
      </c>
      <c r="G6" s="6">
        <v>-849.73920999999996</v>
      </c>
      <c r="H6" s="6">
        <v>-852.29092000000003</v>
      </c>
      <c r="I6" s="7">
        <f t="shared" si="0"/>
        <v>103.36472000000003</v>
      </c>
      <c r="J6" s="7">
        <f t="shared" si="1"/>
        <v>100.81300999999996</v>
      </c>
      <c r="K6" s="7">
        <f t="shared" si="2"/>
        <v>306.88252660000001</v>
      </c>
      <c r="L6" s="7">
        <f t="shared" si="3"/>
        <v>304.33081659999993</v>
      </c>
    </row>
    <row r="7" spans="1:12" x14ac:dyDescent="0.2">
      <c r="A7" s="8" t="s">
        <v>13</v>
      </c>
      <c r="B7" s="8">
        <v>3069.3359</v>
      </c>
      <c r="C7" s="8">
        <v>3071.1646999999998</v>
      </c>
      <c r="D7" s="8" t="s">
        <v>22</v>
      </c>
      <c r="E7" s="8" t="s">
        <v>18</v>
      </c>
      <c r="F7" s="8" t="s">
        <v>23</v>
      </c>
      <c r="G7" s="8">
        <v>-843.43539999999996</v>
      </c>
      <c r="H7" s="8">
        <v>-844.18614000000002</v>
      </c>
      <c r="I7" s="9">
        <f t="shared" si="0"/>
        <v>109.66853000000003</v>
      </c>
      <c r="J7" s="9">
        <f t="shared" si="1"/>
        <v>108.91778999999997</v>
      </c>
      <c r="K7" s="9">
        <f t="shared" si="2"/>
        <v>313.1863366</v>
      </c>
      <c r="L7" s="9">
        <f t="shared" si="3"/>
        <v>312.43559659999994</v>
      </c>
    </row>
    <row r="8" spans="1:12" x14ac:dyDescent="0.2">
      <c r="A8" s="10" t="s">
        <v>13</v>
      </c>
      <c r="B8" s="10">
        <v>3054.0958999999998</v>
      </c>
      <c r="C8" s="10">
        <v>3055.9247</v>
      </c>
      <c r="D8" s="10" t="s">
        <v>24</v>
      </c>
      <c r="E8" s="10" t="s">
        <v>18</v>
      </c>
      <c r="F8" s="10" t="s">
        <v>25</v>
      </c>
      <c r="G8" s="10">
        <v>-837.24437</v>
      </c>
      <c r="H8" s="10">
        <v>-837.98108999999999</v>
      </c>
      <c r="I8" s="11">
        <f t="shared" si="0"/>
        <v>115.85955999999999</v>
      </c>
      <c r="J8" s="11">
        <f t="shared" si="1"/>
        <v>115.12284</v>
      </c>
      <c r="K8" s="11">
        <f t="shared" si="2"/>
        <v>319.37736659999996</v>
      </c>
      <c r="L8" s="11">
        <f t="shared" si="3"/>
        <v>318.64064659999997</v>
      </c>
    </row>
    <row r="9" spans="1:12" x14ac:dyDescent="0.2">
      <c r="A9" s="12" t="s">
        <v>13</v>
      </c>
      <c r="B9" s="12">
        <v>3035.5030999999999</v>
      </c>
      <c r="C9" s="12">
        <v>3040.6846999999998</v>
      </c>
      <c r="D9" s="12" t="s">
        <v>26</v>
      </c>
      <c r="E9" s="12" t="s">
        <v>18</v>
      </c>
      <c r="F9" s="12" t="s">
        <v>27</v>
      </c>
      <c r="G9" s="12">
        <v>-829.84916999999996</v>
      </c>
      <c r="H9" s="12">
        <v>-831.89391999999998</v>
      </c>
      <c r="I9" s="13">
        <f t="shared" si="0"/>
        <v>123.25476000000003</v>
      </c>
      <c r="J9" s="13">
        <f t="shared" si="1"/>
        <v>121.21001000000001</v>
      </c>
      <c r="K9" s="13">
        <f t="shared" si="2"/>
        <v>326.7725666</v>
      </c>
      <c r="L9" s="13">
        <f t="shared" si="3"/>
        <v>324.72781659999998</v>
      </c>
    </row>
    <row r="10" spans="1:12" x14ac:dyDescent="0.2">
      <c r="A10" s="12" t="s">
        <v>13</v>
      </c>
      <c r="B10" s="12">
        <v>2986.4303</v>
      </c>
      <c r="C10" s="12">
        <v>3017.8247000000001</v>
      </c>
      <c r="D10" s="12" t="s">
        <v>28</v>
      </c>
      <c r="E10" s="12">
        <v>1.79</v>
      </c>
      <c r="F10" s="12" t="s">
        <v>29</v>
      </c>
      <c r="G10" s="12">
        <v>-810.30259000000001</v>
      </c>
      <c r="H10" s="12">
        <v>-822.89964999999995</v>
      </c>
      <c r="I10" s="13">
        <f t="shared" si="0"/>
        <v>142.80133999999998</v>
      </c>
      <c r="J10" s="13">
        <f t="shared" si="1"/>
        <v>130.20428000000004</v>
      </c>
      <c r="K10" s="13">
        <f t="shared" si="2"/>
        <v>346.31914659999995</v>
      </c>
      <c r="L10" s="13">
        <f t="shared" si="3"/>
        <v>333.72208660000001</v>
      </c>
    </row>
    <row r="11" spans="1:12" x14ac:dyDescent="0.2">
      <c r="A11" s="14" t="s">
        <v>13</v>
      </c>
      <c r="B11" s="14">
        <v>2909.3159099999998</v>
      </c>
      <c r="C11" s="14">
        <v>2963.5703100000001</v>
      </c>
      <c r="D11" s="14" t="s">
        <v>30</v>
      </c>
      <c r="E11" s="14">
        <v>16.239999999999998</v>
      </c>
      <c r="F11" s="14" t="s">
        <v>31</v>
      </c>
      <c r="G11" s="14">
        <v>-775.63657000000001</v>
      </c>
      <c r="H11" s="14">
        <v>-800.40389000000005</v>
      </c>
      <c r="I11" s="15">
        <f t="shared" si="0"/>
        <v>177.46735999999999</v>
      </c>
      <c r="J11" s="15">
        <f t="shared" si="1"/>
        <v>152.70003999999994</v>
      </c>
      <c r="K11" s="15">
        <f t="shared" si="2"/>
        <v>380.98516659999996</v>
      </c>
      <c r="L11" s="15">
        <f t="shared" si="3"/>
        <v>356.21784659999992</v>
      </c>
    </row>
    <row r="12" spans="1:12" x14ac:dyDescent="0.2">
      <c r="A12" s="4" t="s">
        <v>13</v>
      </c>
      <c r="B12" s="4">
        <v>2840.7359099999999</v>
      </c>
      <c r="C12" s="4">
        <v>2893.4663099999998</v>
      </c>
      <c r="D12" s="4" t="s">
        <v>32</v>
      </c>
      <c r="E12" s="4">
        <v>38.799999999999997</v>
      </c>
      <c r="F12" s="4" t="s">
        <v>33</v>
      </c>
      <c r="G12" s="4">
        <v>-745.06957999999997</v>
      </c>
      <c r="H12" s="4">
        <v>-768.40392999999995</v>
      </c>
      <c r="I12" s="5">
        <f t="shared" si="0"/>
        <v>208.03435000000002</v>
      </c>
      <c r="J12" s="5">
        <f t="shared" si="1"/>
        <v>184.70000000000005</v>
      </c>
      <c r="K12" s="5">
        <f t="shared" si="2"/>
        <v>411.55215659999999</v>
      </c>
      <c r="L12" s="5">
        <f t="shared" si="3"/>
        <v>388.21780660000002</v>
      </c>
    </row>
    <row r="13" spans="1:12" x14ac:dyDescent="0.2">
      <c r="A13" s="10" t="s">
        <v>13</v>
      </c>
      <c r="B13" s="10">
        <v>2825.4959100000001</v>
      </c>
      <c r="C13" s="10">
        <v>2827.3247099999999</v>
      </c>
      <c r="D13" s="10" t="s">
        <v>34</v>
      </c>
      <c r="E13" s="10">
        <v>9.24</v>
      </c>
      <c r="F13" s="10" t="s">
        <v>35</v>
      </c>
      <c r="G13" s="10">
        <v>-738.69800999999995</v>
      </c>
      <c r="H13" s="10">
        <v>-739.45177000000001</v>
      </c>
      <c r="I13" s="11">
        <f t="shared" si="0"/>
        <v>214.40592000000004</v>
      </c>
      <c r="J13" s="11">
        <f t="shared" si="1"/>
        <v>213.65215999999998</v>
      </c>
      <c r="K13" s="11">
        <f t="shared" si="2"/>
        <v>417.92372660000001</v>
      </c>
      <c r="L13" s="11">
        <f t="shared" si="3"/>
        <v>417.16996659999995</v>
      </c>
    </row>
    <row r="16" spans="1:12" x14ac:dyDescent="0.2">
      <c r="A16" t="s">
        <v>1</v>
      </c>
      <c r="B16" t="s">
        <v>2</v>
      </c>
      <c r="C16" t="s">
        <v>3</v>
      </c>
      <c r="D16" t="s">
        <v>4</v>
      </c>
      <c r="E16" t="s">
        <v>5</v>
      </c>
      <c r="F16" t="s">
        <v>6</v>
      </c>
      <c r="G16" t="s">
        <v>7</v>
      </c>
      <c r="H16" t="s">
        <v>8</v>
      </c>
      <c r="I16" s="1" t="s">
        <v>9</v>
      </c>
      <c r="J16" s="1" t="s">
        <v>10</v>
      </c>
      <c r="K16" s="1" t="s">
        <v>11</v>
      </c>
      <c r="L16" s="1" t="s">
        <v>12</v>
      </c>
    </row>
    <row r="17" spans="1:12" x14ac:dyDescent="0.2">
      <c r="A17" s="3" t="s">
        <v>36</v>
      </c>
      <c r="B17" s="3">
        <v>3101.7970999999998</v>
      </c>
      <c r="C17" s="3">
        <v>3327.0488</v>
      </c>
      <c r="D17" s="3" t="s">
        <v>37</v>
      </c>
      <c r="E17" s="3"/>
      <c r="F17" s="3" t="s">
        <v>38</v>
      </c>
      <c r="G17" s="3">
        <v>-805.54543053400005</v>
      </c>
      <c r="H17" s="3">
        <v>-902.92444219599997</v>
      </c>
      <c r="I17" s="3">
        <f>G17-$H$4</f>
        <v>147.55849946599994</v>
      </c>
      <c r="J17" s="3">
        <f>H17-$H$4</f>
        <v>50.179487804000019</v>
      </c>
      <c r="K17" s="3">
        <f>I17+$C$30</f>
        <v>351.07630606599992</v>
      </c>
      <c r="L17" s="3">
        <f>J17+$C$30</f>
        <v>253.69729440400002</v>
      </c>
    </row>
    <row r="18" spans="1:12" x14ac:dyDescent="0.2">
      <c r="A18" s="5" t="s">
        <v>36</v>
      </c>
      <c r="B18" s="5">
        <v>2943.9107049999998</v>
      </c>
      <c r="C18" s="5">
        <v>2969.2091049999999</v>
      </c>
      <c r="D18" s="5" t="s">
        <v>14</v>
      </c>
      <c r="E18" s="5">
        <v>0</v>
      </c>
      <c r="F18" s="5" t="s">
        <v>39</v>
      </c>
      <c r="G18" s="5">
        <v>-741.79928957200002</v>
      </c>
      <c r="H18" s="5">
        <v>-752.68338891899998</v>
      </c>
      <c r="I18" s="5">
        <f t="shared" ref="I18:I22" si="4">G18-$H$4</f>
        <v>211.30464042799997</v>
      </c>
      <c r="J18" s="5">
        <f t="shared" ref="J18:J22" si="5">H18-$H$4</f>
        <v>200.42054108100001</v>
      </c>
      <c r="K18" s="5">
        <f t="shared" ref="K18:K22" si="6">I18+$C$30</f>
        <v>414.82244702799994</v>
      </c>
      <c r="L18" s="5">
        <f t="shared" ref="L18:L22" si="7">J18+$C$30</f>
        <v>403.93834768099998</v>
      </c>
    </row>
    <row r="19" spans="1:12" x14ac:dyDescent="0.2">
      <c r="A19" s="9" t="s">
        <v>36</v>
      </c>
      <c r="B19" s="9">
        <v>2864.357908</v>
      </c>
      <c r="C19" s="9">
        <v>2889.6563070000002</v>
      </c>
      <c r="D19" s="9" t="s">
        <v>17</v>
      </c>
      <c r="E19" s="9">
        <v>0</v>
      </c>
      <c r="F19" s="9" t="s">
        <v>40</v>
      </c>
      <c r="G19" s="9">
        <v>-709.50799343699998</v>
      </c>
      <c r="H19" s="9">
        <v>-720.35195060700005</v>
      </c>
      <c r="I19" s="9">
        <f t="shared" si="4"/>
        <v>243.59593656300001</v>
      </c>
      <c r="J19" s="9">
        <f t="shared" si="5"/>
        <v>232.75197939299994</v>
      </c>
      <c r="K19" s="9">
        <f t="shared" si="6"/>
        <v>447.11374316299998</v>
      </c>
      <c r="L19" s="9">
        <f t="shared" si="7"/>
        <v>436.26978599299991</v>
      </c>
    </row>
    <row r="20" spans="1:12" x14ac:dyDescent="0.2">
      <c r="A20" s="11" t="s">
        <v>36</v>
      </c>
      <c r="B20" s="11">
        <v>2814.3707100000001</v>
      </c>
      <c r="C20" s="11">
        <v>2853.3851079999999</v>
      </c>
      <c r="D20" s="11" t="s">
        <v>20</v>
      </c>
      <c r="E20" s="11">
        <v>1</v>
      </c>
      <c r="F20" s="11" t="s">
        <v>41</v>
      </c>
      <c r="G20" s="11">
        <v>-685.681277099</v>
      </c>
      <c r="H20" s="11">
        <v>-704.54568287699999</v>
      </c>
      <c r="I20" s="11">
        <f t="shared" si="4"/>
        <v>267.42265290099999</v>
      </c>
      <c r="J20" s="11">
        <f t="shared" si="5"/>
        <v>248.558247123</v>
      </c>
      <c r="K20" s="11">
        <f t="shared" si="6"/>
        <v>470.94045950099996</v>
      </c>
      <c r="L20" s="11">
        <f t="shared" si="7"/>
        <v>452.07605372299997</v>
      </c>
    </row>
    <row r="21" spans="1:12" x14ac:dyDescent="0.2">
      <c r="A21" s="13" t="s">
        <v>36</v>
      </c>
      <c r="B21" s="13">
        <v>2720.7971130000001</v>
      </c>
      <c r="C21" s="13">
        <v>2751.2771120000002</v>
      </c>
      <c r="D21" s="13" t="s">
        <v>22</v>
      </c>
      <c r="E21" s="13">
        <v>0.2</v>
      </c>
      <c r="F21" s="13" t="s">
        <v>42</v>
      </c>
      <c r="G21" s="13">
        <v>-641.03533857699995</v>
      </c>
      <c r="H21" s="13">
        <v>-655.376482839</v>
      </c>
      <c r="I21" s="13">
        <f t="shared" si="4"/>
        <v>312.06859142300004</v>
      </c>
      <c r="J21" s="13">
        <f t="shared" si="5"/>
        <v>297.72744716099999</v>
      </c>
      <c r="K21" s="13">
        <f t="shared" si="6"/>
        <v>515.58639802300002</v>
      </c>
      <c r="L21" s="13">
        <f t="shared" si="7"/>
        <v>501.24525376099996</v>
      </c>
    </row>
    <row r="22" spans="1:12" x14ac:dyDescent="0.2">
      <c r="A22" s="13" t="s">
        <v>36</v>
      </c>
      <c r="B22" s="13">
        <v>2664.7139139999999</v>
      </c>
      <c r="C22" s="13">
        <v>2697.937113</v>
      </c>
      <c r="D22" s="13" t="s">
        <v>24</v>
      </c>
      <c r="E22" s="13" t="s">
        <v>43</v>
      </c>
      <c r="F22" s="13" t="s">
        <v>44</v>
      </c>
      <c r="G22" s="13">
        <v>-615.91199502500001</v>
      </c>
      <c r="H22" s="13">
        <v>-630.64092719799999</v>
      </c>
      <c r="I22" s="13">
        <f t="shared" si="4"/>
        <v>337.19193497499998</v>
      </c>
      <c r="J22" s="13">
        <f t="shared" si="5"/>
        <v>322.46300280200001</v>
      </c>
      <c r="K22" s="13">
        <f t="shared" si="6"/>
        <v>540.70974157499995</v>
      </c>
      <c r="L22" s="13">
        <f t="shared" si="7"/>
        <v>525.98080940199998</v>
      </c>
    </row>
    <row r="25" spans="1:12" x14ac:dyDescent="0.2">
      <c r="A25" t="s">
        <v>105</v>
      </c>
    </row>
    <row r="26" spans="1:12" x14ac:dyDescent="0.2">
      <c r="A26" t="s">
        <v>97</v>
      </c>
    </row>
    <row r="27" spans="1:12" x14ac:dyDescent="0.2">
      <c r="A27" t="s">
        <v>96</v>
      </c>
      <c r="B27">
        <v>0.90903476000000005</v>
      </c>
      <c r="C27">
        <v>9.7972989999999996E-2</v>
      </c>
      <c r="D27">
        <v>-0.40503961999999999</v>
      </c>
    </row>
    <row r="29" spans="1:12" x14ac:dyDescent="0.2">
      <c r="A29" t="s">
        <v>45</v>
      </c>
      <c r="B29" t="s">
        <v>46</v>
      </c>
      <c r="C29" t="s">
        <v>47</v>
      </c>
      <c r="D29" t="s">
        <v>48</v>
      </c>
    </row>
    <row r="30" spans="1:12" x14ac:dyDescent="0.2">
      <c r="A30">
        <v>419.08114440000003</v>
      </c>
      <c r="B30">
        <v>264.85162179999998</v>
      </c>
      <c r="C30">
        <v>203.5178066</v>
      </c>
      <c r="E30" t="s">
        <v>49</v>
      </c>
    </row>
    <row r="31" spans="1:12" x14ac:dyDescent="0.2">
      <c r="E31" t="s">
        <v>50</v>
      </c>
    </row>
    <row r="32" spans="1:12" x14ac:dyDescent="0.2">
      <c r="A32" t="s">
        <v>51</v>
      </c>
    </row>
    <row r="33" spans="1:12" x14ac:dyDescent="0.2">
      <c r="A33" s="25" t="s">
        <v>4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 t="s">
        <v>57</v>
      </c>
      <c r="H33" t="s">
        <v>58</v>
      </c>
      <c r="I33" t="s">
        <v>59</v>
      </c>
      <c r="J33" t="s">
        <v>60</v>
      </c>
      <c r="K33" t="s">
        <v>61</v>
      </c>
      <c r="L33" t="s">
        <v>62</v>
      </c>
    </row>
    <row r="34" spans="1:12" x14ac:dyDescent="0.2">
      <c r="A34" s="25">
        <v>1</v>
      </c>
      <c r="B34">
        <f>33.92*0.5*0.5</f>
        <v>8.48</v>
      </c>
      <c r="C34">
        <v>10787</v>
      </c>
      <c r="D34">
        <v>10987</v>
      </c>
      <c r="E34">
        <f t="shared" ref="E34:E46" si="8">D34-$D$34</f>
        <v>0</v>
      </c>
      <c r="F34">
        <f>E34*0.3048</f>
        <v>0</v>
      </c>
      <c r="G34">
        <f t="shared" ref="G34:G46" si="9">$D$27*F34+$C$30</f>
        <v>203.5178066</v>
      </c>
      <c r="H34">
        <f t="shared" ref="H34:H46" si="10">-SIN(25/180*PI())*F34+$C$30</f>
        <v>203.5178066</v>
      </c>
      <c r="I34">
        <f>(D34-C34)*0.3048</f>
        <v>60.96</v>
      </c>
      <c r="J34">
        <f>G34+I34/2</f>
        <v>233.99780659999999</v>
      </c>
      <c r="K34">
        <f>H34+I34/2</f>
        <v>233.99780659999999</v>
      </c>
    </row>
    <row r="35" spans="1:12" x14ac:dyDescent="0.2">
      <c r="A35" s="25">
        <v>2</v>
      </c>
      <c r="B35">
        <f>33.92*0.1*0.5</f>
        <v>1.6960000000000002</v>
      </c>
      <c r="C35">
        <v>10570</v>
      </c>
      <c r="D35">
        <v>10570</v>
      </c>
      <c r="E35">
        <f t="shared" si="8"/>
        <v>-417</v>
      </c>
      <c r="F35">
        <f t="shared" ref="F35:F46" si="11">E35*0.3048</f>
        <v>-127.1016</v>
      </c>
      <c r="G35">
        <f t="shared" si="9"/>
        <v>254.99899036539199</v>
      </c>
      <c r="H35">
        <f t="shared" si="10"/>
        <v>257.23326385646169</v>
      </c>
      <c r="I35">
        <f t="shared" ref="I35:I46" si="12">(D35-C35)*0.3048</f>
        <v>0</v>
      </c>
      <c r="J35">
        <f t="shared" ref="J35:J46" si="13">G35+I35/2</f>
        <v>254.99899036539199</v>
      </c>
      <c r="K35">
        <f t="shared" ref="K35:K46" si="14">H35+I35/2</f>
        <v>257.23326385646169</v>
      </c>
      <c r="L35">
        <f>K35-K34</f>
        <v>23.2354572564617</v>
      </c>
    </row>
    <row r="36" spans="1:12" x14ac:dyDescent="0.2">
      <c r="A36" s="25">
        <v>3</v>
      </c>
      <c r="B36">
        <f>33.92*0.4*0.5</f>
        <v>6.7840000000000007</v>
      </c>
      <c r="C36">
        <v>10130</v>
      </c>
      <c r="D36">
        <v>10130</v>
      </c>
      <c r="E36">
        <f t="shared" si="8"/>
        <v>-857</v>
      </c>
      <c r="F36">
        <f t="shared" si="11"/>
        <v>-261.21359999999999</v>
      </c>
      <c r="G36">
        <f t="shared" si="9"/>
        <v>309.319663882832</v>
      </c>
      <c r="H36">
        <f t="shared" si="10"/>
        <v>313.9114441750304</v>
      </c>
      <c r="I36">
        <f t="shared" si="12"/>
        <v>0</v>
      </c>
      <c r="J36">
        <f t="shared" si="13"/>
        <v>309.319663882832</v>
      </c>
      <c r="K36">
        <f t="shared" si="14"/>
        <v>313.9114441750304</v>
      </c>
      <c r="L36">
        <f t="shared" ref="L36:L46" si="15">K36-K35</f>
        <v>56.678180318568707</v>
      </c>
    </row>
    <row r="37" spans="1:12" x14ac:dyDescent="0.2">
      <c r="A37" s="25">
        <v>4</v>
      </c>
      <c r="B37">
        <f>33.92*0.5*0.5</f>
        <v>8.48</v>
      </c>
      <c r="C37">
        <v>10072</v>
      </c>
      <c r="D37">
        <v>10072</v>
      </c>
      <c r="E37">
        <f t="shared" si="8"/>
        <v>-915</v>
      </c>
      <c r="F37">
        <f t="shared" si="11"/>
        <v>-278.892</v>
      </c>
      <c r="G37">
        <f t="shared" si="9"/>
        <v>316.48011630103997</v>
      </c>
      <c r="H37">
        <f t="shared" si="10"/>
        <v>321.38265885338717</v>
      </c>
      <c r="I37">
        <f t="shared" si="12"/>
        <v>0</v>
      </c>
      <c r="J37">
        <f t="shared" si="13"/>
        <v>316.48011630103997</v>
      </c>
      <c r="K37">
        <f t="shared" si="14"/>
        <v>321.38265885338717</v>
      </c>
      <c r="L37">
        <f t="shared" si="15"/>
        <v>7.4712146783567732</v>
      </c>
    </row>
    <row r="38" spans="1:12" x14ac:dyDescent="0.2">
      <c r="A38" s="25">
        <v>5</v>
      </c>
      <c r="B38">
        <f>33.92*0.5*0.5</f>
        <v>8.48</v>
      </c>
      <c r="C38">
        <v>10022</v>
      </c>
      <c r="D38">
        <v>10022</v>
      </c>
      <c r="E38">
        <f t="shared" si="8"/>
        <v>-965</v>
      </c>
      <c r="F38">
        <f t="shared" si="11"/>
        <v>-294.13200000000001</v>
      </c>
      <c r="G38">
        <f t="shared" si="9"/>
        <v>322.65292010984001</v>
      </c>
      <c r="H38">
        <f t="shared" si="10"/>
        <v>327.82336116231539</v>
      </c>
      <c r="I38">
        <f t="shared" si="12"/>
        <v>0</v>
      </c>
      <c r="J38">
        <f t="shared" si="13"/>
        <v>322.65292010984001</v>
      </c>
      <c r="K38">
        <f t="shared" si="14"/>
        <v>327.82336116231539</v>
      </c>
      <c r="L38">
        <f t="shared" si="15"/>
        <v>6.4407023089282234</v>
      </c>
    </row>
    <row r="39" spans="1:12" x14ac:dyDescent="0.2">
      <c r="A39" s="25">
        <v>8</v>
      </c>
      <c r="B39">
        <v>16.239999999999998</v>
      </c>
      <c r="C39">
        <v>9545.1</v>
      </c>
      <c r="D39">
        <v>9723</v>
      </c>
      <c r="E39">
        <f t="shared" si="8"/>
        <v>-1264</v>
      </c>
      <c r="F39">
        <f t="shared" si="11"/>
        <v>-385.2672</v>
      </c>
      <c r="G39">
        <f t="shared" si="9"/>
        <v>359.56628688646401</v>
      </c>
      <c r="H39">
        <f t="shared" si="10"/>
        <v>366.33876096970641</v>
      </c>
      <c r="I39">
        <f t="shared" si="12"/>
        <v>54.223919999999893</v>
      </c>
      <c r="J39">
        <f t="shared" si="13"/>
        <v>386.67824688646397</v>
      </c>
      <c r="K39">
        <f t="shared" si="14"/>
        <v>393.45072096970637</v>
      </c>
      <c r="L39">
        <f t="shared" si="15"/>
        <v>65.627359807390974</v>
      </c>
    </row>
    <row r="40" spans="1:12" x14ac:dyDescent="0.2">
      <c r="A40" s="25" t="s">
        <v>63</v>
      </c>
      <c r="B40">
        <v>4.9400000000000004</v>
      </c>
      <c r="C40">
        <v>9461.6</v>
      </c>
      <c r="D40">
        <v>9480.1</v>
      </c>
      <c r="E40">
        <f t="shared" si="8"/>
        <v>-1506.8999999999996</v>
      </c>
      <c r="F40">
        <f t="shared" si="11"/>
        <v>-459.30311999999992</v>
      </c>
      <c r="G40">
        <f t="shared" si="9"/>
        <v>389.55376778961437</v>
      </c>
      <c r="H40">
        <f t="shared" si="10"/>
        <v>397.62769278647988</v>
      </c>
      <c r="I40">
        <f t="shared" si="12"/>
        <v>5.6388000000000007</v>
      </c>
      <c r="J40">
        <f t="shared" si="13"/>
        <v>392.37316778961434</v>
      </c>
      <c r="K40">
        <f t="shared" si="14"/>
        <v>400.44709278647986</v>
      </c>
      <c r="L40">
        <f t="shared" si="15"/>
        <v>6.9963718167734896</v>
      </c>
    </row>
    <row r="41" spans="1:12" x14ac:dyDescent="0.2">
      <c r="A41" s="25" t="s">
        <v>64</v>
      </c>
      <c r="B41">
        <v>4.4000000000000004</v>
      </c>
      <c r="C41">
        <v>9412.9</v>
      </c>
      <c r="D41">
        <v>9430</v>
      </c>
      <c r="E41">
        <f t="shared" si="8"/>
        <v>-1557</v>
      </c>
      <c r="F41">
        <f t="shared" si="11"/>
        <v>-474.5736</v>
      </c>
      <c r="G41">
        <f t="shared" si="9"/>
        <v>395.738917206032</v>
      </c>
      <c r="H41">
        <f t="shared" si="10"/>
        <v>404.08127650002598</v>
      </c>
      <c r="I41">
        <f t="shared" si="12"/>
        <v>5.2120800000001113</v>
      </c>
      <c r="J41">
        <f t="shared" si="13"/>
        <v>398.34495720603206</v>
      </c>
      <c r="K41">
        <f t="shared" si="14"/>
        <v>406.68731650002604</v>
      </c>
      <c r="L41">
        <f t="shared" si="15"/>
        <v>6.240223713546186</v>
      </c>
    </row>
    <row r="42" spans="1:12" x14ac:dyDescent="0.2">
      <c r="A42" s="25" t="s">
        <v>65</v>
      </c>
      <c r="B42">
        <v>12.4</v>
      </c>
      <c r="C42">
        <v>9386.4</v>
      </c>
      <c r="D42">
        <v>9405.6</v>
      </c>
      <c r="E42">
        <f t="shared" si="8"/>
        <v>-1581.3999999999996</v>
      </c>
      <c r="F42">
        <f t="shared" si="11"/>
        <v>-482.01071999999994</v>
      </c>
      <c r="G42">
        <f t="shared" si="9"/>
        <v>398.75124546472637</v>
      </c>
      <c r="H42">
        <f t="shared" si="10"/>
        <v>407.22433922678294</v>
      </c>
      <c r="I42">
        <f t="shared" si="12"/>
        <v>5.8521600000002216</v>
      </c>
      <c r="J42">
        <f t="shared" si="13"/>
        <v>401.67732546472649</v>
      </c>
      <c r="K42">
        <f t="shared" si="14"/>
        <v>410.15041922678307</v>
      </c>
      <c r="L42">
        <f t="shared" si="15"/>
        <v>3.4631027267570289</v>
      </c>
    </row>
    <row r="43" spans="1:12" x14ac:dyDescent="0.2">
      <c r="A43" s="25" t="s">
        <v>66</v>
      </c>
      <c r="B43">
        <v>9.1</v>
      </c>
      <c r="C43">
        <v>9361.6</v>
      </c>
      <c r="D43">
        <v>9380.2999999999993</v>
      </c>
      <c r="E43">
        <f t="shared" si="8"/>
        <v>-1606.7000000000007</v>
      </c>
      <c r="F43">
        <f t="shared" si="11"/>
        <v>-489.72216000000026</v>
      </c>
      <c r="G43">
        <f t="shared" si="9"/>
        <v>401.87468419197933</v>
      </c>
      <c r="H43">
        <f t="shared" si="10"/>
        <v>410.48333459510081</v>
      </c>
      <c r="I43">
        <f t="shared" si="12"/>
        <v>5.6997599999996673</v>
      </c>
      <c r="J43">
        <f t="shared" si="13"/>
        <v>404.72456419197914</v>
      </c>
      <c r="K43">
        <f t="shared" si="14"/>
        <v>413.33321459510063</v>
      </c>
      <c r="L43">
        <f t="shared" si="15"/>
        <v>3.1827953683175565</v>
      </c>
    </row>
    <row r="44" spans="1:12" x14ac:dyDescent="0.2">
      <c r="A44" s="25" t="s">
        <v>67</v>
      </c>
      <c r="B44">
        <v>3.2</v>
      </c>
      <c r="C44">
        <v>9336.7999999999993</v>
      </c>
      <c r="D44">
        <v>9355.9</v>
      </c>
      <c r="E44">
        <f t="shared" si="8"/>
        <v>-1631.1000000000004</v>
      </c>
      <c r="F44">
        <f t="shared" si="11"/>
        <v>-497.15928000000014</v>
      </c>
      <c r="G44">
        <f t="shared" si="9"/>
        <v>404.88701245067364</v>
      </c>
      <c r="H44">
        <f t="shared" si="10"/>
        <v>413.62639732185778</v>
      </c>
      <c r="I44">
        <f t="shared" si="12"/>
        <v>5.8216800000001108</v>
      </c>
      <c r="J44">
        <f t="shared" si="13"/>
        <v>407.7978524506737</v>
      </c>
      <c r="K44">
        <f t="shared" si="14"/>
        <v>416.53723732185784</v>
      </c>
      <c r="L44">
        <f t="shared" si="15"/>
        <v>3.2040227267572163</v>
      </c>
    </row>
    <row r="45" spans="1:12" x14ac:dyDescent="0.2">
      <c r="A45" s="25" t="s">
        <v>68</v>
      </c>
      <c r="B45">
        <v>4.7300000000000004</v>
      </c>
      <c r="C45">
        <v>9320</v>
      </c>
      <c r="D45">
        <v>9329</v>
      </c>
      <c r="E45">
        <f t="shared" si="8"/>
        <v>-1658</v>
      </c>
      <c r="F45">
        <f t="shared" si="11"/>
        <v>-505.35840000000002</v>
      </c>
      <c r="G45">
        <f t="shared" si="9"/>
        <v>408.20798089980804</v>
      </c>
      <c r="H45">
        <f t="shared" si="10"/>
        <v>417.09149516406109</v>
      </c>
      <c r="I45">
        <f t="shared" si="12"/>
        <v>2.7432000000000003</v>
      </c>
      <c r="J45">
        <f t="shared" si="13"/>
        <v>409.57958089980804</v>
      </c>
      <c r="K45">
        <f t="shared" si="14"/>
        <v>418.46309516406109</v>
      </c>
      <c r="L45">
        <f t="shared" si="15"/>
        <v>1.9258578422032429</v>
      </c>
    </row>
    <row r="46" spans="1:12" x14ac:dyDescent="0.2">
      <c r="A46" s="25" t="s">
        <v>69</v>
      </c>
      <c r="B46">
        <v>9.24</v>
      </c>
      <c r="C46">
        <v>9270</v>
      </c>
      <c r="D46">
        <v>9276</v>
      </c>
      <c r="E46">
        <f t="shared" si="8"/>
        <v>-1711</v>
      </c>
      <c r="F46">
        <f t="shared" si="11"/>
        <v>-521.51279999999997</v>
      </c>
      <c r="G46">
        <f t="shared" si="9"/>
        <v>414.751152937136</v>
      </c>
      <c r="H46">
        <f t="shared" si="10"/>
        <v>423.91863961152501</v>
      </c>
      <c r="I46">
        <f t="shared" si="12"/>
        <v>1.8288000000000002</v>
      </c>
      <c r="J46">
        <f t="shared" si="13"/>
        <v>415.665552937136</v>
      </c>
      <c r="K46">
        <f t="shared" si="14"/>
        <v>424.83303961152501</v>
      </c>
      <c r="L46">
        <f t="shared" si="15"/>
        <v>6.3699444474639222</v>
      </c>
    </row>
    <row r="50" spans="1:16" x14ac:dyDescent="0.2">
      <c r="A50" t="s">
        <v>101</v>
      </c>
    </row>
    <row r="51" spans="1:16" x14ac:dyDescent="0.2">
      <c r="A51" s="16" t="s">
        <v>70</v>
      </c>
      <c r="B51" s="17"/>
      <c r="C51" s="17"/>
      <c r="D51" s="17"/>
      <c r="E51" s="18"/>
      <c r="I51" s="16" t="s">
        <v>103</v>
      </c>
      <c r="J51" s="17"/>
      <c r="K51" s="17"/>
      <c r="L51" s="17"/>
      <c r="M51" s="17"/>
      <c r="N51" s="17"/>
      <c r="O51" s="17"/>
      <c r="P51" s="18"/>
    </row>
    <row r="52" spans="1:16" x14ac:dyDescent="0.2">
      <c r="A52" s="19"/>
      <c r="E52" s="20"/>
      <c r="I52" s="19"/>
      <c r="P52" s="20"/>
    </row>
    <row r="53" spans="1:16" x14ac:dyDescent="0.2">
      <c r="A53" s="19" t="s">
        <v>52</v>
      </c>
      <c r="B53" s="25" t="s">
        <v>4</v>
      </c>
      <c r="C53" t="s">
        <v>59</v>
      </c>
      <c r="D53" t="s">
        <v>60</v>
      </c>
      <c r="E53" s="20" t="s">
        <v>61</v>
      </c>
      <c r="F53" t="s">
        <v>71</v>
      </c>
      <c r="G53" t="s">
        <v>57</v>
      </c>
      <c r="H53" t="s">
        <v>72</v>
      </c>
      <c r="I53" s="19" t="s">
        <v>73</v>
      </c>
      <c r="J53" t="s">
        <v>62</v>
      </c>
      <c r="K53" s="25" t="s">
        <v>4</v>
      </c>
      <c r="L53" t="s">
        <v>74</v>
      </c>
      <c r="P53" s="20"/>
    </row>
    <row r="54" spans="1:16" x14ac:dyDescent="0.2">
      <c r="A54" s="19">
        <f>33.92*0.5*0.5</f>
        <v>8.48</v>
      </c>
      <c r="B54" s="25">
        <v>1</v>
      </c>
      <c r="C54">
        <v>60.96</v>
      </c>
      <c r="D54">
        <v>233.99780659999999</v>
      </c>
      <c r="E54" s="20">
        <v>233.99780659999999</v>
      </c>
      <c r="F54">
        <v>1</v>
      </c>
      <c r="G54">
        <v>224.10357772610001</v>
      </c>
      <c r="H54" t="s">
        <v>75</v>
      </c>
      <c r="I54" s="19">
        <v>0</v>
      </c>
      <c r="J54">
        <v>0</v>
      </c>
      <c r="K54" s="25">
        <v>1</v>
      </c>
      <c r="P54" s="20"/>
    </row>
    <row r="55" spans="1:16" x14ac:dyDescent="0.2">
      <c r="A55" s="19">
        <f>33.92*0.1*0.5</f>
        <v>1.6960000000000002</v>
      </c>
      <c r="B55" s="25">
        <v>2</v>
      </c>
      <c r="C55">
        <v>0</v>
      </c>
      <c r="D55">
        <v>254.99899036539199</v>
      </c>
      <c r="E55" s="20">
        <v>257.23094276</v>
      </c>
      <c r="F55">
        <v>2</v>
      </c>
      <c r="G55">
        <v>254.72075842629999</v>
      </c>
      <c r="H55" t="s">
        <v>76</v>
      </c>
      <c r="I55" s="19">
        <f>G55-G54</f>
        <v>30.617180700199981</v>
      </c>
      <c r="J55">
        <v>23.2354572564617</v>
      </c>
      <c r="K55" s="25">
        <v>2</v>
      </c>
      <c r="P55" s="20"/>
    </row>
    <row r="56" spans="1:16" x14ac:dyDescent="0.2">
      <c r="A56" s="19">
        <f>33.92*0.4*0.5</f>
        <v>6.7840000000000007</v>
      </c>
      <c r="B56" s="25" t="s">
        <v>77</v>
      </c>
      <c r="C56">
        <v>0</v>
      </c>
      <c r="D56">
        <v>309.319663882832</v>
      </c>
      <c r="E56" s="20">
        <v>313.90667395999998</v>
      </c>
      <c r="F56">
        <v>3</v>
      </c>
      <c r="G56">
        <v>310.80596957040001</v>
      </c>
      <c r="H56" t="s">
        <v>78</v>
      </c>
      <c r="I56" s="19">
        <f>G56-G55</f>
        <v>56.085211144100015</v>
      </c>
      <c r="J56">
        <v>56.678180318568707</v>
      </c>
      <c r="K56" s="25">
        <v>3</v>
      </c>
      <c r="P56" s="20"/>
    </row>
    <row r="57" spans="1:16" x14ac:dyDescent="0.2">
      <c r="A57" s="19"/>
      <c r="E57" s="20"/>
      <c r="F57">
        <v>4</v>
      </c>
      <c r="G57">
        <v>318.21350349490001</v>
      </c>
      <c r="H57" t="s">
        <v>79</v>
      </c>
      <c r="I57" s="19">
        <f>G57-G56</f>
        <v>7.4075339245000009</v>
      </c>
      <c r="J57">
        <v>7.4712146783567732</v>
      </c>
      <c r="K57" s="25">
        <v>4</v>
      </c>
      <c r="L57" t="s">
        <v>80</v>
      </c>
      <c r="P57" s="20"/>
    </row>
    <row r="58" spans="1:16" x14ac:dyDescent="0.2">
      <c r="A58" s="19">
        <f>33.92*0.5*0.5</f>
        <v>8.48</v>
      </c>
      <c r="B58" s="25">
        <v>4</v>
      </c>
      <c r="C58">
        <v>0</v>
      </c>
      <c r="D58">
        <v>316.48011630103997</v>
      </c>
      <c r="E58" s="20">
        <v>321.37756579999996</v>
      </c>
      <c r="F58">
        <v>5</v>
      </c>
      <c r="G58">
        <v>332.35042737229998</v>
      </c>
      <c r="H58" t="s">
        <v>81</v>
      </c>
      <c r="I58" s="19">
        <f>G58-G57</f>
        <v>14.136923877399965</v>
      </c>
      <c r="J58">
        <v>6.4407023089282234</v>
      </c>
      <c r="K58" s="25">
        <v>5</v>
      </c>
      <c r="L58" t="s">
        <v>82</v>
      </c>
      <c r="P58" s="20"/>
    </row>
    <row r="59" spans="1:16" x14ac:dyDescent="0.2">
      <c r="A59" s="19"/>
      <c r="E59" s="20"/>
      <c r="F59">
        <v>6</v>
      </c>
      <c r="G59">
        <v>346.83700329660002</v>
      </c>
      <c r="H59" t="s">
        <v>83</v>
      </c>
      <c r="I59" s="19"/>
      <c r="P59" s="20"/>
    </row>
    <row r="60" spans="1:16" x14ac:dyDescent="0.2">
      <c r="A60" s="19">
        <f>33.92*0.5*0.5</f>
        <v>8.48</v>
      </c>
      <c r="B60" s="25">
        <v>5</v>
      </c>
      <c r="C60">
        <v>0</v>
      </c>
      <c r="D60">
        <v>322.65292010984001</v>
      </c>
      <c r="E60" s="20">
        <v>327.81798979999996</v>
      </c>
      <c r="F60">
        <v>7</v>
      </c>
      <c r="G60">
        <v>359.0793238631</v>
      </c>
      <c r="H60" t="s">
        <v>84</v>
      </c>
      <c r="I60" s="19"/>
      <c r="P60" s="20"/>
    </row>
    <row r="61" spans="1:16" x14ac:dyDescent="0.2">
      <c r="A61" s="19"/>
      <c r="E61" s="20"/>
      <c r="F61">
        <v>8</v>
      </c>
      <c r="G61">
        <v>362.21762250350002</v>
      </c>
      <c r="H61" t="s">
        <v>85</v>
      </c>
      <c r="I61" s="19"/>
      <c r="P61" s="20"/>
    </row>
    <row r="62" spans="1:16" x14ac:dyDescent="0.2">
      <c r="A62" s="19"/>
      <c r="E62" s="20"/>
      <c r="F62">
        <v>9</v>
      </c>
      <c r="G62">
        <v>375.65593560119999</v>
      </c>
      <c r="H62" t="s">
        <v>86</v>
      </c>
      <c r="I62" s="19"/>
      <c r="P62" s="20"/>
    </row>
    <row r="63" spans="1:16" x14ac:dyDescent="0.2">
      <c r="A63" s="19">
        <v>16.239999999999998</v>
      </c>
      <c r="B63" s="25">
        <v>8</v>
      </c>
      <c r="C63">
        <v>54.223919999999893</v>
      </c>
      <c r="D63">
        <v>386.67824688646397</v>
      </c>
      <c r="E63" s="20">
        <v>393.44368531999999</v>
      </c>
      <c r="F63">
        <v>10</v>
      </c>
      <c r="G63">
        <v>394.67868927320001</v>
      </c>
      <c r="H63" t="s">
        <v>87</v>
      </c>
      <c r="I63" s="19">
        <f>G63-G58</f>
        <v>62.328261900900031</v>
      </c>
      <c r="J63">
        <v>65.627359807390974</v>
      </c>
      <c r="K63" s="25">
        <v>8</v>
      </c>
      <c r="P63" s="20"/>
    </row>
    <row r="64" spans="1:16" x14ac:dyDescent="0.2">
      <c r="A64" s="19">
        <v>4.9400000000000004</v>
      </c>
      <c r="B64" s="25" t="s">
        <v>63</v>
      </c>
      <c r="C64">
        <v>5.6388000000000007</v>
      </c>
      <c r="D64">
        <v>392.37316778961434</v>
      </c>
      <c r="E64" s="20">
        <v>400.43870511199992</v>
      </c>
      <c r="F64">
        <v>11</v>
      </c>
      <c r="G64">
        <v>400.87151481759997</v>
      </c>
      <c r="H64" t="s">
        <v>88</v>
      </c>
      <c r="I64" s="19">
        <f>G64-G63</f>
        <v>6.192825544399966</v>
      </c>
      <c r="J64">
        <v>6.9963718167734896</v>
      </c>
      <c r="K64" s="25" t="s">
        <v>63</v>
      </c>
      <c r="P64" s="20"/>
    </row>
    <row r="65" spans="1:16" x14ac:dyDescent="0.2">
      <c r="A65" s="19">
        <v>4.4000000000000004</v>
      </c>
      <c r="B65" s="25" t="s">
        <v>64</v>
      </c>
      <c r="C65">
        <v>5.2120800000001113</v>
      </c>
      <c r="D65">
        <v>398.34495720603206</v>
      </c>
      <c r="E65" s="20">
        <v>406.67864996000009</v>
      </c>
      <c r="F65">
        <v>12</v>
      </c>
      <c r="G65">
        <v>404.08412988060002</v>
      </c>
      <c r="H65" t="s">
        <v>89</v>
      </c>
      <c r="I65" s="19">
        <f t="shared" ref="I65:I70" si="16">G65-G64</f>
        <v>3.2126150630000438</v>
      </c>
      <c r="J65">
        <v>6.240223713546186</v>
      </c>
      <c r="K65" s="25" t="s">
        <v>64</v>
      </c>
      <c r="P65" s="20"/>
    </row>
    <row r="66" spans="1:16" x14ac:dyDescent="0.2">
      <c r="A66" s="19">
        <v>12.4</v>
      </c>
      <c r="B66" s="25" t="s">
        <v>65</v>
      </c>
      <c r="C66">
        <v>5.8521600000002216</v>
      </c>
      <c r="D66">
        <v>401.67732546472649</v>
      </c>
      <c r="E66" s="20">
        <v>410.1416168720001</v>
      </c>
      <c r="F66">
        <v>13</v>
      </c>
      <c r="G66">
        <v>407.24617137220002</v>
      </c>
      <c r="H66" t="s">
        <v>90</v>
      </c>
      <c r="I66" s="19">
        <f t="shared" si="16"/>
        <v>3.1620414916000072</v>
      </c>
      <c r="J66">
        <v>3.4631027267570289</v>
      </c>
      <c r="K66" s="25" t="s">
        <v>65</v>
      </c>
      <c r="P66" s="20"/>
    </row>
    <row r="67" spans="1:16" x14ac:dyDescent="0.2">
      <c r="A67" s="19">
        <v>9.1</v>
      </c>
      <c r="B67" s="25" t="s">
        <v>66</v>
      </c>
      <c r="C67">
        <v>5.6997599999996673</v>
      </c>
      <c r="D67">
        <v>404.72456419197914</v>
      </c>
      <c r="E67" s="20">
        <v>413.32427141599993</v>
      </c>
      <c r="F67">
        <v>14</v>
      </c>
      <c r="G67">
        <v>410.35153120289999</v>
      </c>
      <c r="H67" t="s">
        <v>91</v>
      </c>
      <c r="I67" s="19">
        <f t="shared" si="16"/>
        <v>3.1053598306999675</v>
      </c>
      <c r="J67">
        <v>3.1827953683175565</v>
      </c>
      <c r="K67" s="25" t="s">
        <v>66</v>
      </c>
      <c r="P67" s="20"/>
    </row>
    <row r="68" spans="1:16" x14ac:dyDescent="0.2">
      <c r="A68" s="19">
        <v>3.2</v>
      </c>
      <c r="B68" s="25" t="s">
        <v>67</v>
      </c>
      <c r="C68">
        <v>5.8216800000001108</v>
      </c>
      <c r="D68">
        <v>407.7978524506737</v>
      </c>
      <c r="E68" s="20">
        <v>416.52815832800007</v>
      </c>
      <c r="F68">
        <v>15</v>
      </c>
      <c r="G68">
        <v>413.11875291749999</v>
      </c>
      <c r="H68" t="s">
        <v>92</v>
      </c>
      <c r="I68" s="19">
        <f t="shared" si="16"/>
        <v>2.767221714599998</v>
      </c>
      <c r="J68">
        <v>3.2040227267572163</v>
      </c>
      <c r="K68" s="25" t="s">
        <v>67</v>
      </c>
      <c r="P68" s="20"/>
    </row>
    <row r="69" spans="1:16" x14ac:dyDescent="0.2">
      <c r="A69" s="19">
        <v>4.7300000000000004</v>
      </c>
      <c r="B69" s="25" t="s">
        <v>68</v>
      </c>
      <c r="C69">
        <v>2.7432000000000003</v>
      </c>
      <c r="D69">
        <v>409.57958089980804</v>
      </c>
      <c r="E69" s="20">
        <v>418.45386644000001</v>
      </c>
      <c r="F69">
        <v>16</v>
      </c>
      <c r="G69">
        <v>418.66810282900002</v>
      </c>
      <c r="H69" t="s">
        <v>93</v>
      </c>
      <c r="I69" s="19">
        <f t="shared" si="16"/>
        <v>5.5493499115000304</v>
      </c>
      <c r="J69">
        <v>1.9258578422032429</v>
      </c>
      <c r="K69" s="25" t="s">
        <v>68</v>
      </c>
      <c r="P69" s="20"/>
    </row>
    <row r="70" spans="1:16" x14ac:dyDescent="0.2">
      <c r="A70" s="21">
        <v>9.24</v>
      </c>
      <c r="B70" s="22" t="s">
        <v>69</v>
      </c>
      <c r="C70" s="23">
        <v>1.8288000000000002</v>
      </c>
      <c r="D70" s="23">
        <v>415.665552937136</v>
      </c>
      <c r="E70" s="24">
        <v>424.82351587999995</v>
      </c>
      <c r="F70">
        <v>17</v>
      </c>
      <c r="G70">
        <v>437.57787526689998</v>
      </c>
      <c r="H70" t="s">
        <v>94</v>
      </c>
      <c r="I70" s="21">
        <f t="shared" si="16"/>
        <v>18.90977243789996</v>
      </c>
      <c r="J70" s="23">
        <v>6.3699444474639222</v>
      </c>
      <c r="K70" s="22" t="s">
        <v>69</v>
      </c>
      <c r="L70" s="23" t="s">
        <v>104</v>
      </c>
      <c r="M70" s="23"/>
      <c r="N70" s="23"/>
      <c r="O70" s="23"/>
      <c r="P70" s="24"/>
    </row>
    <row r="72" spans="1:16" x14ac:dyDescent="0.2">
      <c r="G72" t="s">
        <v>95</v>
      </c>
    </row>
    <row r="76" spans="1:16" x14ac:dyDescent="0.2">
      <c r="A76" t="s">
        <v>102</v>
      </c>
    </row>
    <row r="78" spans="1:16" x14ac:dyDescent="0.2">
      <c r="F78" t="s">
        <v>71</v>
      </c>
      <c r="G78" t="s">
        <v>57</v>
      </c>
      <c r="H78" t="s">
        <v>72</v>
      </c>
    </row>
    <row r="79" spans="1:16" x14ac:dyDescent="0.2">
      <c r="F79">
        <v>1</v>
      </c>
      <c r="G79">
        <v>532.16798293869999</v>
      </c>
      <c r="H79" t="s">
        <v>75</v>
      </c>
    </row>
    <row r="80" spans="1:16" x14ac:dyDescent="0.2">
      <c r="F80">
        <v>2</v>
      </c>
      <c r="G80">
        <v>504.08412988060002</v>
      </c>
      <c r="H80" t="s">
        <v>76</v>
      </c>
    </row>
    <row r="81" spans="6:8" x14ac:dyDescent="0.2">
      <c r="F81">
        <v>3</v>
      </c>
      <c r="G81">
        <v>496.55282000689999</v>
      </c>
      <c r="H81" t="s">
        <v>78</v>
      </c>
    </row>
    <row r="82" spans="6:8" x14ac:dyDescent="0.2">
      <c r="F82">
        <v>4</v>
      </c>
      <c r="G82">
        <v>495.2773550563</v>
      </c>
      <c r="H82" t="s">
        <v>79</v>
      </c>
    </row>
    <row r="83" spans="6:8" x14ac:dyDescent="0.2">
      <c r="F83">
        <v>5</v>
      </c>
      <c r="G83">
        <v>473.62378614049999</v>
      </c>
      <c r="H83" t="s">
        <v>81</v>
      </c>
    </row>
    <row r="84" spans="6:8" x14ac:dyDescent="0.2">
      <c r="F84">
        <v>6</v>
      </c>
      <c r="G84">
        <v>449.64739632120001</v>
      </c>
      <c r="H84" t="s">
        <v>83</v>
      </c>
    </row>
    <row r="85" spans="6:8" x14ac:dyDescent="0.2">
      <c r="F85">
        <v>7</v>
      </c>
      <c r="G85">
        <v>418.91455640279997</v>
      </c>
      <c r="H85" t="s">
        <v>84</v>
      </c>
    </row>
    <row r="86" spans="6:8" x14ac:dyDescent="0.2">
      <c r="F86">
        <v>8</v>
      </c>
      <c r="G86">
        <v>410.80596957040001</v>
      </c>
      <c r="H86" t="s">
        <v>85</v>
      </c>
    </row>
    <row r="87" spans="6:8" x14ac:dyDescent="0.2">
      <c r="F87">
        <v>9</v>
      </c>
      <c r="G87">
        <v>333.4352911748</v>
      </c>
      <c r="H87" t="s">
        <v>86</v>
      </c>
    </row>
    <row r="88" spans="6:8" x14ac:dyDescent="0.2">
      <c r="F88">
        <v>10</v>
      </c>
      <c r="G88">
        <v>324.10357772610001</v>
      </c>
      <c r="H88" t="s">
        <v>87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3E6C-2728-5B44-8BD5-C264EB467ED8}">
  <dimension ref="A1:E20"/>
  <sheetViews>
    <sheetView workbookViewId="0"/>
  </sheetViews>
  <sheetFormatPr baseColWidth="10" defaultRowHeight="16" x14ac:dyDescent="0.2"/>
  <sheetData>
    <row r="1" spans="1:5" x14ac:dyDescent="0.2">
      <c r="A1" t="s">
        <v>100</v>
      </c>
    </row>
    <row r="3" spans="1:5" x14ac:dyDescent="0.2">
      <c r="A3" t="s">
        <v>71</v>
      </c>
      <c r="B3" t="s">
        <v>98</v>
      </c>
      <c r="C3" t="s">
        <v>99</v>
      </c>
      <c r="D3" t="s">
        <v>57</v>
      </c>
      <c r="E3" t="s">
        <v>72</v>
      </c>
    </row>
    <row r="4" spans="1:5" x14ac:dyDescent="0.2">
      <c r="A4">
        <v>1</v>
      </c>
      <c r="B4">
        <v>374.80198453970002</v>
      </c>
      <c r="C4">
        <v>260.07934909490001</v>
      </c>
      <c r="D4">
        <v>224.10357772610001</v>
      </c>
      <c r="E4" t="s">
        <v>75</v>
      </c>
    </row>
    <row r="5" spans="1:5" x14ac:dyDescent="0.2">
      <c r="A5">
        <v>2</v>
      </c>
      <c r="B5">
        <v>308.94566901000002</v>
      </c>
      <c r="C5">
        <v>252.98155640760001</v>
      </c>
      <c r="D5">
        <v>254.72075842629999</v>
      </c>
      <c r="E5" t="s">
        <v>76</v>
      </c>
    </row>
    <row r="6" spans="1:5" x14ac:dyDescent="0.2">
      <c r="A6">
        <v>3</v>
      </c>
      <c r="B6">
        <v>188.30865158469999</v>
      </c>
      <c r="C6">
        <v>239.97966686640001</v>
      </c>
      <c r="D6">
        <v>310.80596957040001</v>
      </c>
      <c r="E6" t="s">
        <v>78</v>
      </c>
    </row>
    <row r="7" spans="1:5" x14ac:dyDescent="0.2">
      <c r="A7">
        <v>4</v>
      </c>
      <c r="B7">
        <v>172.375346157</v>
      </c>
      <c r="C7">
        <v>238.26242383760001</v>
      </c>
      <c r="D7">
        <v>318.21350349490001</v>
      </c>
      <c r="E7" t="s">
        <v>79</v>
      </c>
    </row>
    <row r="8" spans="1:5" x14ac:dyDescent="0.2">
      <c r="A8">
        <v>5</v>
      </c>
      <c r="B8">
        <v>141.96739551639999</v>
      </c>
      <c r="C8">
        <v>234.9851477258</v>
      </c>
      <c r="D8">
        <v>332.35042737229998</v>
      </c>
      <c r="E8" t="s">
        <v>81</v>
      </c>
    </row>
    <row r="9" spans="1:5" x14ac:dyDescent="0.2">
      <c r="A9">
        <v>6</v>
      </c>
      <c r="B9">
        <v>110.80735748550001</v>
      </c>
      <c r="C9">
        <v>231.62681393060001</v>
      </c>
      <c r="D9">
        <v>346.83700329660002</v>
      </c>
      <c r="E9" t="s">
        <v>83</v>
      </c>
    </row>
    <row r="10" spans="1:5" x14ac:dyDescent="0.2">
      <c r="A10">
        <v>7</v>
      </c>
      <c r="B10">
        <v>84.474621825300005</v>
      </c>
      <c r="C10">
        <v>228.7887520514</v>
      </c>
      <c r="D10">
        <v>359.0793238631</v>
      </c>
      <c r="E10" t="s">
        <v>84</v>
      </c>
    </row>
    <row r="11" spans="1:5" x14ac:dyDescent="0.2">
      <c r="A11">
        <v>8</v>
      </c>
      <c r="B11">
        <v>77.724268567300001</v>
      </c>
      <c r="C11">
        <v>228.06121958</v>
      </c>
      <c r="D11">
        <v>362.21762250350002</v>
      </c>
      <c r="E11" t="s">
        <v>85</v>
      </c>
    </row>
    <row r="12" spans="1:5" x14ac:dyDescent="0.2">
      <c r="A12">
        <v>9</v>
      </c>
      <c r="B12">
        <v>48.819001416500001</v>
      </c>
      <c r="C12">
        <v>224.94589810849999</v>
      </c>
      <c r="D12">
        <v>375.65593560119999</v>
      </c>
      <c r="E12" t="s">
        <v>86</v>
      </c>
    </row>
    <row r="13" spans="1:5" x14ac:dyDescent="0.2">
      <c r="A13">
        <v>10</v>
      </c>
      <c r="B13">
        <v>7.9018287892999997</v>
      </c>
      <c r="C13">
        <v>220.5359701262</v>
      </c>
      <c r="D13">
        <v>394.67868927320001</v>
      </c>
      <c r="E13" t="s">
        <v>87</v>
      </c>
    </row>
    <row r="14" spans="1:5" x14ac:dyDescent="0.2">
      <c r="A14">
        <v>11</v>
      </c>
      <c r="B14">
        <v>-5.4186881145000001</v>
      </c>
      <c r="C14">
        <v>219.10032547</v>
      </c>
      <c r="D14">
        <v>400.87151481759997</v>
      </c>
      <c r="E14" t="s">
        <v>88</v>
      </c>
    </row>
    <row r="15" spans="1:5" x14ac:dyDescent="0.2">
      <c r="A15">
        <v>12</v>
      </c>
      <c r="B15">
        <v>-12.3288929874</v>
      </c>
      <c r="C15">
        <v>218.3555646794</v>
      </c>
      <c r="D15">
        <v>404.08412988060002</v>
      </c>
      <c r="E15" t="s">
        <v>89</v>
      </c>
    </row>
    <row r="16" spans="1:5" x14ac:dyDescent="0.2">
      <c r="A16">
        <v>13</v>
      </c>
      <c r="B16">
        <v>-19.130316156599999</v>
      </c>
      <c r="C16">
        <v>217.62252804889999</v>
      </c>
      <c r="D16">
        <v>407.24617137220002</v>
      </c>
      <c r="E16" t="s">
        <v>90</v>
      </c>
    </row>
    <row r="17" spans="1:5" x14ac:dyDescent="0.2">
      <c r="A17">
        <v>14</v>
      </c>
      <c r="B17">
        <v>-25.809819368900001</v>
      </c>
      <c r="C17">
        <v>216.90263157929999</v>
      </c>
      <c r="D17">
        <v>410.35153120289999</v>
      </c>
      <c r="E17" t="s">
        <v>91</v>
      </c>
    </row>
    <row r="18" spans="1:5" x14ac:dyDescent="0.2">
      <c r="A18">
        <v>15</v>
      </c>
      <c r="B18">
        <v>-31.762001190100001</v>
      </c>
      <c r="C18">
        <v>216.26112358930001</v>
      </c>
      <c r="D18">
        <v>413.11875291749999</v>
      </c>
      <c r="E18" t="s">
        <v>92</v>
      </c>
    </row>
    <row r="19" spans="1:5" x14ac:dyDescent="0.2">
      <c r="A19">
        <v>16</v>
      </c>
      <c r="B19">
        <v>-43.698428071899997</v>
      </c>
      <c r="C19">
        <v>214.97465193119999</v>
      </c>
      <c r="D19">
        <v>418.66810282900002</v>
      </c>
      <c r="E19" t="s">
        <v>93</v>
      </c>
    </row>
    <row r="20" spans="1:5" x14ac:dyDescent="0.2">
      <c r="A20">
        <v>17</v>
      </c>
      <c r="B20">
        <v>-84.372582640800005</v>
      </c>
      <c r="C20">
        <v>210.59091569360001</v>
      </c>
      <c r="D20">
        <v>437.57787526689998</v>
      </c>
      <c r="E20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6F89-0331-2D48-BCB7-A056D9FCB2C4}">
  <dimension ref="A1:E13"/>
  <sheetViews>
    <sheetView workbookViewId="0">
      <selection activeCell="A3" sqref="A3:E13"/>
    </sheetView>
  </sheetViews>
  <sheetFormatPr baseColWidth="10" defaultRowHeight="16" x14ac:dyDescent="0.2"/>
  <sheetData>
    <row r="1" spans="1:5" x14ac:dyDescent="0.2">
      <c r="A1" t="s">
        <v>100</v>
      </c>
    </row>
    <row r="3" spans="1:5" x14ac:dyDescent="0.2">
      <c r="A3" t="s">
        <v>71</v>
      </c>
      <c r="B3" t="s">
        <v>98</v>
      </c>
      <c r="C3" t="s">
        <v>99</v>
      </c>
      <c r="D3" t="s">
        <v>57</v>
      </c>
      <c r="E3" t="s">
        <v>72</v>
      </c>
    </row>
    <row r="4" spans="1:5" x14ac:dyDescent="0.2">
      <c r="A4">
        <v>1</v>
      </c>
      <c r="B4">
        <v>-72.736123371900007</v>
      </c>
      <c r="C4">
        <v>211.84505775790001</v>
      </c>
      <c r="D4">
        <v>532.16798293869999</v>
      </c>
      <c r="E4" t="s">
        <v>75</v>
      </c>
    </row>
    <row r="5" spans="1:5" x14ac:dyDescent="0.2">
      <c r="A5">
        <v>2</v>
      </c>
      <c r="B5">
        <v>-12.3288929874</v>
      </c>
      <c r="C5">
        <v>218.3555646794</v>
      </c>
      <c r="D5">
        <v>504.08412988060002</v>
      </c>
      <c r="E5" t="s">
        <v>76</v>
      </c>
    </row>
    <row r="6" spans="1:5" x14ac:dyDescent="0.2">
      <c r="A6">
        <v>3</v>
      </c>
      <c r="B6">
        <v>3.8706494933000002</v>
      </c>
      <c r="C6">
        <v>220.1015019253</v>
      </c>
      <c r="D6">
        <v>496.55282000689999</v>
      </c>
      <c r="E6" t="s">
        <v>78</v>
      </c>
    </row>
    <row r="7" spans="1:5" x14ac:dyDescent="0.2">
      <c r="A7">
        <v>4</v>
      </c>
      <c r="B7">
        <v>6.6141229389999996</v>
      </c>
      <c r="C7">
        <v>220.3971851199</v>
      </c>
      <c r="D7">
        <v>495.2773550563</v>
      </c>
      <c r="E7" t="s">
        <v>79</v>
      </c>
    </row>
    <row r="8" spans="1:5" x14ac:dyDescent="0.2">
      <c r="A8">
        <v>5</v>
      </c>
      <c r="B8">
        <v>53.190072593700002</v>
      </c>
      <c r="C8">
        <v>225.41699881900001</v>
      </c>
      <c r="D8">
        <v>473.62378614049999</v>
      </c>
      <c r="E8" t="s">
        <v>81</v>
      </c>
    </row>
    <row r="9" spans="1:5" x14ac:dyDescent="0.2">
      <c r="A9">
        <v>6</v>
      </c>
      <c r="B9">
        <v>104.7623159255</v>
      </c>
      <c r="C9">
        <v>230.9752978013</v>
      </c>
      <c r="D9">
        <v>449.64739632120001</v>
      </c>
      <c r="E9" t="s">
        <v>83</v>
      </c>
    </row>
    <row r="10" spans="1:5" x14ac:dyDescent="0.2">
      <c r="A10">
        <v>7</v>
      </c>
      <c r="B10">
        <v>170.86740974849999</v>
      </c>
      <c r="C10">
        <v>238.09990305380001</v>
      </c>
      <c r="D10">
        <v>418.91455640279997</v>
      </c>
      <c r="E10" t="s">
        <v>84</v>
      </c>
    </row>
    <row r="11" spans="1:5" x14ac:dyDescent="0.2">
      <c r="A11">
        <v>8</v>
      </c>
      <c r="B11">
        <v>188.30865158469999</v>
      </c>
      <c r="C11">
        <v>239.97966686640001</v>
      </c>
      <c r="D11">
        <v>410.80596957040001</v>
      </c>
      <c r="E11" t="s">
        <v>85</v>
      </c>
    </row>
    <row r="12" spans="1:5" x14ac:dyDescent="0.2">
      <c r="A12">
        <v>9</v>
      </c>
      <c r="B12">
        <v>354.7298468948</v>
      </c>
      <c r="C12">
        <v>257.91603536190001</v>
      </c>
      <c r="D12">
        <v>333.4352911748</v>
      </c>
      <c r="E12" t="s">
        <v>86</v>
      </c>
    </row>
    <row r="13" spans="1:5" x14ac:dyDescent="0.2">
      <c r="A13">
        <v>10</v>
      </c>
      <c r="B13">
        <v>374.80198453970002</v>
      </c>
      <c r="C13">
        <v>260.07934909490001</v>
      </c>
      <c r="D13">
        <v>324.10357772610001</v>
      </c>
      <c r="E1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inj_prod_pts</vt:lpstr>
      <vt:lpstr>inj_pts_case_A</vt:lpstr>
      <vt:lpstr>prod_pts_case_A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Brendon Munday</dc:creator>
  <cp:lastModifiedBy>Lynn Brendon Munday</cp:lastModifiedBy>
  <dcterms:created xsi:type="dcterms:W3CDTF">2025-03-21T16:08:41Z</dcterms:created>
  <dcterms:modified xsi:type="dcterms:W3CDTF">2025-04-02T23:45:40Z</dcterms:modified>
</cp:coreProperties>
</file>