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map/Desktop/"/>
    </mc:Choice>
  </mc:AlternateContent>
  <xr:revisionPtr revIDLastSave="0" documentId="8_{F56FD3D2-2A67-654F-8321-4209BE17AED7}" xr6:coauthVersionLast="47" xr6:coauthVersionMax="47" xr10:uidLastSave="{00000000-0000-0000-0000-000000000000}"/>
  <bookViews>
    <workbookView xWindow="34600" yWindow="700" windowWidth="38400" windowHeight="19360" activeTab="1" xr2:uid="{307C5E76-A9E2-574D-96ED-CEB1C20119AD}"/>
  </bookViews>
  <sheets>
    <sheet name="inj_prod_pts" sheetId="1" r:id="rId1"/>
    <sheet name="input for meshing" sheetId="4" r:id="rId2"/>
    <sheet name="inj_pts_case_A" sheetId="2" r:id="rId3"/>
    <sheet name="prod_pts_case_A" sheetId="3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5" i="1" l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34" i="1"/>
  <c r="H4" i="2" l="1"/>
  <c r="I4" i="2"/>
  <c r="G4" i="2"/>
  <c r="C21" i="2"/>
  <c r="I51" i="1"/>
  <c r="I52" i="1"/>
  <c r="I53" i="1"/>
  <c r="I54" i="1"/>
  <c r="K54" i="1" s="1"/>
  <c r="I55" i="1"/>
  <c r="I56" i="1"/>
  <c r="I57" i="1"/>
  <c r="I58" i="1"/>
  <c r="I59" i="1"/>
  <c r="I60" i="1"/>
  <c r="I41" i="1"/>
  <c r="I42" i="1"/>
  <c r="I43" i="1"/>
  <c r="J43" i="1" s="1"/>
  <c r="I44" i="1"/>
  <c r="I45" i="1"/>
  <c r="I46" i="1"/>
  <c r="I47" i="1"/>
  <c r="I48" i="1"/>
  <c r="I49" i="1"/>
  <c r="I50" i="1"/>
  <c r="I35" i="1"/>
  <c r="I36" i="1"/>
  <c r="I37" i="1"/>
  <c r="I38" i="1"/>
  <c r="I39" i="1"/>
  <c r="I40" i="1"/>
  <c r="K52" i="1"/>
  <c r="J54" i="1"/>
  <c r="J52" i="1"/>
  <c r="H54" i="1"/>
  <c r="H52" i="1"/>
  <c r="G54" i="1"/>
  <c r="G52" i="1"/>
  <c r="F54" i="1"/>
  <c r="F53" i="1"/>
  <c r="F52" i="1"/>
  <c r="E54" i="1"/>
  <c r="E52" i="1"/>
  <c r="E43" i="1"/>
  <c r="F43" i="1"/>
  <c r="G43" i="1"/>
  <c r="H43" i="1"/>
  <c r="E42" i="1"/>
  <c r="F42" i="1"/>
  <c r="H42" i="1" s="1"/>
  <c r="E41" i="1"/>
  <c r="F41" i="1" s="1"/>
  <c r="E40" i="1"/>
  <c r="F40" i="1" s="1"/>
  <c r="E39" i="1"/>
  <c r="F39" i="1"/>
  <c r="G39" i="1"/>
  <c r="H39" i="1"/>
  <c r="J39" i="1"/>
  <c r="K39" i="1"/>
  <c r="E50" i="1"/>
  <c r="F50" i="1" s="1"/>
  <c r="G50" i="1" s="1"/>
  <c r="E49" i="1"/>
  <c r="F49" i="1" s="1"/>
  <c r="E48" i="1"/>
  <c r="F48" i="1"/>
  <c r="G48" i="1"/>
  <c r="H48" i="1"/>
  <c r="J48" i="1"/>
  <c r="E47" i="1"/>
  <c r="F47" i="1" s="1"/>
  <c r="G47" i="1" s="1"/>
  <c r="J47" i="1" s="1"/>
  <c r="E46" i="1"/>
  <c r="F46" i="1"/>
  <c r="G46" i="1" s="1"/>
  <c r="E45" i="1"/>
  <c r="F45" i="1"/>
  <c r="G45" i="1" s="1"/>
  <c r="E44" i="1"/>
  <c r="F44" i="1" s="1"/>
  <c r="I22" i="1"/>
  <c r="K22" i="1" s="1"/>
  <c r="I21" i="1"/>
  <c r="K21" i="1" s="1"/>
  <c r="I20" i="1"/>
  <c r="K20" i="1" s="1"/>
  <c r="I19" i="1"/>
  <c r="K19" i="1" s="1"/>
  <c r="I18" i="1"/>
  <c r="K18" i="1" s="1"/>
  <c r="I17" i="1"/>
  <c r="K17" i="1" s="1"/>
  <c r="J22" i="1"/>
  <c r="L22" i="1" s="1"/>
  <c r="J21" i="1"/>
  <c r="L21" i="1" s="1"/>
  <c r="J20" i="1"/>
  <c r="L20" i="1" s="1"/>
  <c r="J19" i="1"/>
  <c r="L19" i="1" s="1"/>
  <c r="J18" i="1"/>
  <c r="L18" i="1" s="1"/>
  <c r="J13" i="1"/>
  <c r="L13" i="1" s="1"/>
  <c r="J12" i="1"/>
  <c r="L12" i="1" s="1"/>
  <c r="J11" i="1"/>
  <c r="L11" i="1" s="1"/>
  <c r="J10" i="1"/>
  <c r="L10" i="1" s="1"/>
  <c r="J9" i="1"/>
  <c r="L9" i="1" s="1"/>
  <c r="J8" i="1"/>
  <c r="L8" i="1" s="1"/>
  <c r="J7" i="1"/>
  <c r="L7" i="1" s="1"/>
  <c r="J6" i="1"/>
  <c r="L6" i="1" s="1"/>
  <c r="J5" i="1"/>
  <c r="L5" i="1" s="1"/>
  <c r="J4" i="1"/>
  <c r="L4" i="1" s="1"/>
  <c r="I13" i="1"/>
  <c r="K13" i="1" s="1"/>
  <c r="I12" i="1"/>
  <c r="K12" i="1" s="1"/>
  <c r="I11" i="1"/>
  <c r="K11" i="1" s="1"/>
  <c r="I10" i="1"/>
  <c r="K10" i="1" s="1"/>
  <c r="I9" i="1"/>
  <c r="K9" i="1" s="1"/>
  <c r="I8" i="1"/>
  <c r="K8" i="1" s="1"/>
  <c r="I7" i="1"/>
  <c r="K7" i="1" s="1"/>
  <c r="I6" i="1"/>
  <c r="K6" i="1" s="1"/>
  <c r="I5" i="1"/>
  <c r="K5" i="1" s="1"/>
  <c r="I4" i="1"/>
  <c r="K4" i="1" s="1"/>
  <c r="J17" i="1"/>
  <c r="L17" i="1" s="1"/>
  <c r="E35" i="1"/>
  <c r="F35" i="1" s="1"/>
  <c r="H35" i="1" s="1"/>
  <c r="E36" i="1"/>
  <c r="F36" i="1" s="1"/>
  <c r="E37" i="1"/>
  <c r="F37" i="1" s="1"/>
  <c r="H37" i="1" s="1"/>
  <c r="E38" i="1"/>
  <c r="F38" i="1" s="1"/>
  <c r="H38" i="1" s="1"/>
  <c r="E51" i="1"/>
  <c r="F51" i="1" s="1"/>
  <c r="H51" i="1" s="1"/>
  <c r="E53" i="1"/>
  <c r="E55" i="1"/>
  <c r="F55" i="1" s="1"/>
  <c r="H55" i="1" s="1"/>
  <c r="E56" i="1"/>
  <c r="F56" i="1" s="1"/>
  <c r="G56" i="1" s="1"/>
  <c r="E57" i="1"/>
  <c r="F57" i="1" s="1"/>
  <c r="E58" i="1"/>
  <c r="F58" i="1" s="1"/>
  <c r="H58" i="1" s="1"/>
  <c r="E59" i="1"/>
  <c r="F59" i="1" s="1"/>
  <c r="H59" i="1" s="1"/>
  <c r="E60" i="1"/>
  <c r="F60" i="1" s="1"/>
  <c r="G60" i="1" s="1"/>
  <c r="E34" i="1"/>
  <c r="F34" i="1" s="1"/>
  <c r="H34" i="1" s="1"/>
  <c r="I84" i="1"/>
  <c r="I83" i="1"/>
  <c r="I82" i="1"/>
  <c r="I81" i="1"/>
  <c r="I80" i="1"/>
  <c r="I79" i="1"/>
  <c r="I78" i="1"/>
  <c r="I77" i="1"/>
  <c r="A74" i="1"/>
  <c r="I72" i="1"/>
  <c r="A72" i="1"/>
  <c r="I71" i="1"/>
  <c r="I70" i="1"/>
  <c r="A70" i="1"/>
  <c r="I69" i="1"/>
  <c r="A69" i="1"/>
  <c r="A68" i="1"/>
  <c r="B38" i="1"/>
  <c r="B37" i="1"/>
  <c r="B36" i="1"/>
  <c r="B35" i="1"/>
  <c r="I34" i="1"/>
  <c r="B34" i="1"/>
  <c r="K42" i="1" l="1"/>
  <c r="K43" i="1"/>
  <c r="G42" i="1"/>
  <c r="J42" i="1" s="1"/>
  <c r="G41" i="1"/>
  <c r="J41" i="1" s="1"/>
  <c r="H41" i="1"/>
  <c r="K41" i="1" s="1"/>
  <c r="G40" i="1"/>
  <c r="J40" i="1" s="1"/>
  <c r="H40" i="1"/>
  <c r="K40" i="1" s="1"/>
  <c r="H47" i="1"/>
  <c r="K47" i="1" s="1"/>
  <c r="G44" i="1"/>
  <c r="J44" i="1" s="1"/>
  <c r="H44" i="1"/>
  <c r="K44" i="1" s="1"/>
  <c r="L44" i="1" s="1"/>
  <c r="K48" i="1"/>
  <c r="B61" i="1"/>
  <c r="J46" i="1"/>
  <c r="H45" i="1"/>
  <c r="K45" i="1" s="1"/>
  <c r="J45" i="1"/>
  <c r="J50" i="1"/>
  <c r="H50" i="1"/>
  <c r="K50" i="1" s="1"/>
  <c r="H49" i="1"/>
  <c r="K49" i="1" s="1"/>
  <c r="L49" i="1" s="1"/>
  <c r="G49" i="1"/>
  <c r="J49" i="1" s="1"/>
  <c r="H46" i="1"/>
  <c r="K46" i="1" s="1"/>
  <c r="L46" i="1" s="1"/>
  <c r="G59" i="1"/>
  <c r="H60" i="1"/>
  <c r="K60" i="1" s="1"/>
  <c r="H53" i="1"/>
  <c r="K53" i="1" s="1"/>
  <c r="L53" i="1" s="1"/>
  <c r="G53" i="1"/>
  <c r="J53" i="1" s="1"/>
  <c r="H36" i="1"/>
  <c r="K36" i="1" s="1"/>
  <c r="G36" i="1"/>
  <c r="J36" i="1" s="1"/>
  <c r="G58" i="1"/>
  <c r="J58" i="1" s="1"/>
  <c r="H57" i="1"/>
  <c r="K57" i="1" s="1"/>
  <c r="G55" i="1"/>
  <c r="J55" i="1" s="1"/>
  <c r="H56" i="1"/>
  <c r="K56" i="1" s="1"/>
  <c r="G51" i="1"/>
  <c r="J51" i="1" s="1"/>
  <c r="G38" i="1"/>
  <c r="J38" i="1" s="1"/>
  <c r="G37" i="1"/>
  <c r="J37" i="1" s="1"/>
  <c r="G34" i="1"/>
  <c r="J34" i="1" s="1"/>
  <c r="G35" i="1"/>
  <c r="J35" i="1" s="1"/>
  <c r="G57" i="1"/>
  <c r="J57" i="1" s="1"/>
  <c r="J60" i="1"/>
  <c r="K51" i="1"/>
  <c r="L52" i="1" s="1"/>
  <c r="K58" i="1"/>
  <c r="K59" i="1"/>
  <c r="J59" i="1"/>
  <c r="K35" i="1"/>
  <c r="K55" i="1"/>
  <c r="L55" i="1" s="1"/>
  <c r="K37" i="1"/>
  <c r="J56" i="1"/>
  <c r="K34" i="1"/>
  <c r="K38" i="1"/>
  <c r="L39" i="1" s="1"/>
  <c r="L56" i="1" l="1"/>
  <c r="L54" i="1"/>
  <c r="L47" i="1"/>
  <c r="L45" i="1"/>
  <c r="L43" i="1"/>
  <c r="L50" i="1"/>
  <c r="L51" i="1"/>
  <c r="L48" i="1"/>
  <c r="L42" i="1"/>
  <c r="L40" i="1"/>
  <c r="L41" i="1"/>
  <c r="L59" i="1"/>
  <c r="L57" i="1"/>
  <c r="L38" i="1"/>
  <c r="L58" i="1"/>
  <c r="L36" i="1"/>
  <c r="L60" i="1"/>
  <c r="L35" i="1"/>
  <c r="L37" i="1"/>
</calcChain>
</file>

<file path=xl/sharedStrings.xml><?xml version="1.0" encoding="utf-8"?>
<sst xmlns="http://schemas.openxmlformats.org/spreadsheetml/2006/main" count="245" uniqueCount="136">
  <si>
    <t>BELOW IS FROM HARIS z-data.  Perforation_zones_16B_with_xyz.csv and Perforation_zones_16A_with_xyz.csv</t>
  </si>
  <si>
    <t>Well ID</t>
  </si>
  <si>
    <t>From</t>
  </si>
  <si>
    <t>to</t>
  </si>
  <si>
    <t>Stage</t>
  </si>
  <si>
    <t>Out_Flow %</t>
  </si>
  <si>
    <t>Note</t>
  </si>
  <si>
    <t>start_z</t>
  </si>
  <si>
    <t>end_z</t>
  </si>
  <si>
    <t>diff_start_z</t>
  </si>
  <si>
    <t>diff_end_z</t>
  </si>
  <si>
    <t>ref_start_z</t>
  </si>
  <si>
    <t>ref_end_z</t>
  </si>
  <si>
    <t>16A(78)-32</t>
  </si>
  <si>
    <t>Stage 1</t>
  </si>
  <si>
    <t>Stage 1-6: 33.92; total inflow rate 15 bpm; injection temp 100 F</t>
  </si>
  <si>
    <t>Stage 1: 10,787 ‚Äì 10,987 ft MD (Open-hole)</t>
  </si>
  <si>
    <t>Stage 2</t>
  </si>
  <si>
    <t>Stage 1-6: 33.92</t>
  </si>
  <si>
    <t>‚Ä¢ Stage 2: 10,560 ‚Äì 10,580 ft MD (Perforation interval)</t>
  </si>
  <si>
    <t>Stage 3</t>
  </si>
  <si>
    <t>‚Ä¢ Stage 3: 10,120 ‚Äì 10,140 ft MD (Perforation interval)</t>
  </si>
  <si>
    <t>Stage 4</t>
  </si>
  <si>
    <t>‚Ä¢ Stage 4: 10,070 ‚Äì 10,076 ft MD (Perforation interval)</t>
  </si>
  <si>
    <t>Stage 5</t>
  </si>
  <si>
    <t>‚Ä¢ Stage 5: 10,020 ‚Äì 10,026 ft MD (Perforation interval)</t>
  </si>
  <si>
    <t>Stage 6</t>
  </si>
  <si>
    <t>‚Ä¢ Stage 6: 9,959 ‚Äì 9,976 ft MD (2 Perforation clusters); didn't take proppant</t>
  </si>
  <si>
    <t>Stage 7</t>
  </si>
  <si>
    <t>‚Ä¢ Stage 7: 9,798 ‚Äì 9,901 ft MD (3 Perforation clusters); didn't take proppant</t>
  </si>
  <si>
    <t>Stage 8</t>
  </si>
  <si>
    <t>‚Ä¢ Stage 8: 9,545 ‚Äì 9,723 ft MD (8 Perforation clusters)</t>
  </si>
  <si>
    <t>Stage 9</t>
  </si>
  <si>
    <t>‚Ä¢ Stage 9: 9,320 ‚Äì 9,493 ft MD (8 Perforation clusters)</t>
  </si>
  <si>
    <t>Stage 10</t>
  </si>
  <si>
    <t>‚Ä¢ Stage 10: 9,270 ‚Äì 9,276 ft MD (Perforation interval)</t>
  </si>
  <si>
    <t>16B(78)-32</t>
  </si>
  <si>
    <t>Stage 0</t>
  </si>
  <si>
    <t>Open hole, 10208 - 10947 ft, these messurements are assumed to be referenced from KB (31.5'), from and to are corrected for KB.</t>
  </si>
  <si>
    <t>‚Ä¢ Stage 1: 9,690 ‚Äì 9,773 ft MD, these messurements are assumed to be referenced from KB (31.5'), from and to are corrected for KB.</t>
  </si>
  <si>
    <t>‚Ä¢ Stage 2: 9,429 ‚Äì 9,512 ft MD, these messurements are assumed to be referenced from KB (31.5'), from and to are corrected for KB.</t>
  </si>
  <si>
    <t>‚Ä¢ Stage 3: 9,265 ‚Äì 9,393 ft MD, these messurements are assumed to be referenced from KB (31.5'), from and to are corrected for KB.</t>
  </si>
  <si>
    <t>‚Ä¢ Stage 4: 8,958 ‚Äì 9,058 ft MD, these messurements are assumed to be referenced from KB (31.5'), from and to are corrected for KB.</t>
  </si>
  <si>
    <t>98.8%; Outflow rate as per report 12.5 bpm</t>
  </si>
  <si>
    <t>‚Ä¢ Stage 5: 8,774 ‚Äì 8,883 ft MD; Outflow rate: no proppant; data suggest max of 8; these messurements are assumed to be referenced from KB (31.5'), from and to are corrected for KB.</t>
  </si>
  <si>
    <t>x16</t>
  </si>
  <si>
    <t>y16</t>
  </si>
  <si>
    <t>z16</t>
  </si>
  <si>
    <t>These points are the last value I have for well 16A so they should be the end value from the stages</t>
  </si>
  <si>
    <t>The stages are measured in distance along the well.  So if I am starting at the bottom and moving up the well I need to adjust them by the angle of the well to get the correct z value.</t>
  </si>
  <si>
    <t>I am using the midpoint of the zone to compare to plane intersections.</t>
  </si>
  <si>
    <t>Aleta</t>
  </si>
  <si>
    <t>Percent of Flow</t>
  </si>
  <si>
    <t>start(ft)</t>
  </si>
  <si>
    <t>end(ft)</t>
  </si>
  <si>
    <t>distToEnd</t>
  </si>
  <si>
    <t>diffToEnd(m)</t>
  </si>
  <si>
    <t>z</t>
  </si>
  <si>
    <t>z25deg</t>
  </si>
  <si>
    <t>zoneLength(m)</t>
  </si>
  <si>
    <t>middle</t>
  </si>
  <si>
    <t>middle65</t>
  </si>
  <si>
    <t>spacing</t>
  </si>
  <si>
    <t>9-2</t>
  </si>
  <si>
    <t>9-4</t>
  </si>
  <si>
    <t>9-5</t>
  </si>
  <si>
    <t>9-6</t>
  </si>
  <si>
    <t>9-7</t>
  </si>
  <si>
    <t>9-8</t>
  </si>
  <si>
    <t>10</t>
  </si>
  <si>
    <t>These are the answers I would use for injection because they have exits</t>
  </si>
  <si>
    <t>index</t>
  </si>
  <si>
    <t>fractureID</t>
  </si>
  <si>
    <t>frac spacing</t>
  </si>
  <si>
    <t>Trying to match the fracture spacing to the stage spacing.</t>
  </si>
  <si>
    <t>1AHF1</t>
  </si>
  <si>
    <t>2AHF1</t>
  </si>
  <si>
    <t>3</t>
  </si>
  <si>
    <t>2AFMI2</t>
  </si>
  <si>
    <t>3AHF1</t>
  </si>
  <si>
    <t>This one doesnot intersect production</t>
  </si>
  <si>
    <t>4AHF1</t>
  </si>
  <si>
    <t>This should be zone 5 but the spacing is too far</t>
  </si>
  <si>
    <t>6AFMI1</t>
  </si>
  <si>
    <t>6AMS2</t>
  </si>
  <si>
    <t>7AHF1</t>
  </si>
  <si>
    <t>7AFMI2</t>
  </si>
  <si>
    <t>7AFMI3</t>
  </si>
  <si>
    <t>7AFMI4</t>
  </si>
  <si>
    <t>8AFMI1</t>
  </si>
  <si>
    <t>8AHF2</t>
  </si>
  <si>
    <t>8AFMI3</t>
  </si>
  <si>
    <t>9AHF1</t>
  </si>
  <si>
    <t>9AHF2</t>
  </si>
  <si>
    <t>9AHF3</t>
  </si>
  <si>
    <t>These are locations where the new DFN from 3/15/25 intersects well 16A.</t>
  </si>
  <si>
    <t>nvec</t>
  </si>
  <si>
    <t>Vector along well:</t>
  </si>
  <si>
    <t>x</t>
  </si>
  <si>
    <t>y</t>
  </si>
  <si>
    <t>From March 15, 2025</t>
  </si>
  <si>
    <t>INJECTION POINTS</t>
  </si>
  <si>
    <t>PRODUCTION POINTS</t>
  </si>
  <si>
    <t>These are my best guess based on frac spacing but there is an extra</t>
  </si>
  <si>
    <t>The spacing here is too big.</t>
  </si>
  <si>
    <t>THIS IS THE DATA I AM USING FOR THE SIMULATION INTERSECTIONS.</t>
  </si>
  <si>
    <t>9-1</t>
  </si>
  <si>
    <t>9-3</t>
  </si>
  <si>
    <t>8-1</t>
  </si>
  <si>
    <t>8-2</t>
  </si>
  <si>
    <t>8-3</t>
  </si>
  <si>
    <t>8-4</t>
  </si>
  <si>
    <t>8-5</t>
  </si>
  <si>
    <t>8-6</t>
  </si>
  <si>
    <t>8-7</t>
  </si>
  <si>
    <t>8-8</t>
  </si>
  <si>
    <t>6-1</t>
  </si>
  <si>
    <t>6-2</t>
  </si>
  <si>
    <t>7-1</t>
  </si>
  <si>
    <t>7-2</t>
  </si>
  <si>
    <t>7-3</t>
  </si>
  <si>
    <t>Center points of planar fractures (z)</t>
  </si>
  <si>
    <t>FractureX[m]</t>
  </si>
  <si>
    <t>FractureY[m]</t>
  </si>
  <si>
    <t>FractureZ[m]</t>
  </si>
  <si>
    <t>FractureRadius[m]</t>
  </si>
  <si>
    <t>Area[m2]</t>
  </si>
  <si>
    <t>Trend[deg]</t>
  </si>
  <si>
    <t>Plunge[deg]</t>
  </si>
  <si>
    <t>Strike[deg]</t>
  </si>
  <si>
    <t>Dip_Angle[deg]</t>
  </si>
  <si>
    <t>Aperture[m]</t>
  </si>
  <si>
    <t>Permeability[m2]</t>
  </si>
  <si>
    <t>Compressibility[1/kPa]</t>
  </si>
  <si>
    <t>Tag</t>
  </si>
  <si>
    <t>MeshSize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</si>
</sst>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indexed="8"/>
      <name val="Aptos Narrow"/>
      <family val="2"/>
    </font>
    <font>
      <sz val="12"/>
      <color rgb="FF00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0" fontId="0" fillId="4" borderId="0" xfId="0" applyFill="1"/>
    <xf numFmtId="0" fontId="1" fillId="5" borderId="0" xfId="0" applyFont="1" applyFill="1"/>
    <xf numFmtId="0" fontId="0" fillId="5" borderId="0" xfId="0" applyFill="1"/>
    <xf numFmtId="0" fontId="1" fillId="6" borderId="0" xfId="0" applyFont="1" applyFill="1"/>
    <xf numFmtId="0" fontId="0" fillId="6" borderId="0" xfId="0" applyFill="1"/>
    <xf numFmtId="0" fontId="1" fillId="7" borderId="0" xfId="0" applyFont="1" applyFill="1"/>
    <xf numFmtId="0" fontId="0" fillId="7" borderId="0" xfId="0" applyFill="1"/>
    <xf numFmtId="0" fontId="1" fillId="8" borderId="0" xfId="0" applyFont="1" applyFill="1"/>
    <xf numFmtId="0" fontId="0" fillId="8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49" fontId="0" fillId="0" borderId="7" xfId="0" applyNumberFormat="1" applyBorder="1" applyAlignment="1">
      <alignment horizontal="center"/>
    </xf>
    <xf numFmtId="0" fontId="0" fillId="0" borderId="7" xfId="0" applyBorder="1"/>
    <xf numFmtId="0" fontId="0" fillId="0" borderId="8" xfId="0" applyBorder="1"/>
    <xf numFmtId="49" fontId="0" fillId="0" borderId="0" xfId="0" applyNumberForma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z-x relation</c:v>
          </c:tx>
          <c:spPr>
            <a:ln w="19050" cap="rnd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0657239720034996"/>
                  <c:y val="-0.762264508603091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inj_pts_case_A!$D$4:$D$20</c:f>
              <c:numCache>
                <c:formatCode>General</c:formatCode>
                <c:ptCount val="17"/>
                <c:pt idx="0">
                  <c:v>224.10357772610001</c:v>
                </c:pt>
                <c:pt idx="1">
                  <c:v>254.72075842629999</c:v>
                </c:pt>
                <c:pt idx="2">
                  <c:v>310.80596957040001</c:v>
                </c:pt>
                <c:pt idx="3">
                  <c:v>318.21350349490001</c:v>
                </c:pt>
                <c:pt idx="4">
                  <c:v>332.35042737229998</c:v>
                </c:pt>
                <c:pt idx="5">
                  <c:v>346.83700329660002</c:v>
                </c:pt>
                <c:pt idx="6">
                  <c:v>359.0793238631</c:v>
                </c:pt>
                <c:pt idx="7">
                  <c:v>362.21762250350002</c:v>
                </c:pt>
                <c:pt idx="8">
                  <c:v>375.65593560119999</c:v>
                </c:pt>
                <c:pt idx="9">
                  <c:v>394.67868927320001</c:v>
                </c:pt>
                <c:pt idx="10">
                  <c:v>400.87151481759997</c:v>
                </c:pt>
                <c:pt idx="11">
                  <c:v>404.08412988060002</c:v>
                </c:pt>
                <c:pt idx="12">
                  <c:v>407.24617137220002</c:v>
                </c:pt>
                <c:pt idx="13">
                  <c:v>410.35153120289999</c:v>
                </c:pt>
                <c:pt idx="14">
                  <c:v>413.11875291749999</c:v>
                </c:pt>
                <c:pt idx="15">
                  <c:v>418.66810282900002</c:v>
                </c:pt>
                <c:pt idx="16">
                  <c:v>437.57787526689998</c:v>
                </c:pt>
              </c:numCache>
            </c:numRef>
          </c:xVal>
          <c:yVal>
            <c:numRef>
              <c:f>inj_pts_case_A!$B$4:$B$20</c:f>
              <c:numCache>
                <c:formatCode>General</c:formatCode>
                <c:ptCount val="17"/>
                <c:pt idx="0">
                  <c:v>374.80198453970002</c:v>
                </c:pt>
                <c:pt idx="1">
                  <c:v>308.94566901000002</c:v>
                </c:pt>
                <c:pt idx="2">
                  <c:v>188.30865158469999</c:v>
                </c:pt>
                <c:pt idx="3">
                  <c:v>172.375346157</c:v>
                </c:pt>
                <c:pt idx="4">
                  <c:v>141.96739551639999</c:v>
                </c:pt>
                <c:pt idx="5">
                  <c:v>110.80735748550001</c:v>
                </c:pt>
                <c:pt idx="6">
                  <c:v>84.474621825300005</c:v>
                </c:pt>
                <c:pt idx="7">
                  <c:v>77.724268567300001</c:v>
                </c:pt>
                <c:pt idx="8">
                  <c:v>48.819001416500001</c:v>
                </c:pt>
                <c:pt idx="9">
                  <c:v>7.9018287892999997</c:v>
                </c:pt>
                <c:pt idx="10">
                  <c:v>-5.4186881145000001</c:v>
                </c:pt>
                <c:pt idx="11">
                  <c:v>-12.3288929874</c:v>
                </c:pt>
                <c:pt idx="12">
                  <c:v>-19.130316156599999</c:v>
                </c:pt>
                <c:pt idx="13">
                  <c:v>-25.809819368900001</c:v>
                </c:pt>
                <c:pt idx="14">
                  <c:v>-31.762001190100001</c:v>
                </c:pt>
                <c:pt idx="15">
                  <c:v>-43.698428071899997</c:v>
                </c:pt>
                <c:pt idx="16">
                  <c:v>-84.372582640800005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94-8E4D-8F94-ED5A3771FC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8533216"/>
        <c:axId val="1828543728"/>
      </c:scatterChart>
      <c:valAx>
        <c:axId val="1828533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8543728"/>
        <c:crosses val="autoZero"/>
        <c:crossBetween val="midCat"/>
      </c:valAx>
      <c:valAx>
        <c:axId val="182854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8533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z-y relation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0657239720034996"/>
                  <c:y val="-0.762264508603091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inj_pts_case_A!$D$4:$D$20</c:f>
              <c:numCache>
                <c:formatCode>General</c:formatCode>
                <c:ptCount val="17"/>
                <c:pt idx="0">
                  <c:v>224.10357772610001</c:v>
                </c:pt>
                <c:pt idx="1">
                  <c:v>254.72075842629999</c:v>
                </c:pt>
                <c:pt idx="2">
                  <c:v>310.80596957040001</c:v>
                </c:pt>
                <c:pt idx="3">
                  <c:v>318.21350349490001</c:v>
                </c:pt>
                <c:pt idx="4">
                  <c:v>332.35042737229998</c:v>
                </c:pt>
                <c:pt idx="5">
                  <c:v>346.83700329660002</c:v>
                </c:pt>
                <c:pt idx="6">
                  <c:v>359.0793238631</c:v>
                </c:pt>
                <c:pt idx="7">
                  <c:v>362.21762250350002</c:v>
                </c:pt>
                <c:pt idx="8">
                  <c:v>375.65593560119999</c:v>
                </c:pt>
                <c:pt idx="9">
                  <c:v>394.67868927320001</c:v>
                </c:pt>
                <c:pt idx="10">
                  <c:v>400.87151481759997</c:v>
                </c:pt>
                <c:pt idx="11">
                  <c:v>404.08412988060002</c:v>
                </c:pt>
                <c:pt idx="12">
                  <c:v>407.24617137220002</c:v>
                </c:pt>
                <c:pt idx="13">
                  <c:v>410.35153120289999</c:v>
                </c:pt>
                <c:pt idx="14">
                  <c:v>413.11875291749999</c:v>
                </c:pt>
                <c:pt idx="15">
                  <c:v>418.66810282900002</c:v>
                </c:pt>
                <c:pt idx="16">
                  <c:v>437.57787526689998</c:v>
                </c:pt>
              </c:numCache>
            </c:numRef>
          </c:xVal>
          <c:yVal>
            <c:numRef>
              <c:f>inj_pts_case_A!$C$4:$C$20</c:f>
              <c:numCache>
                <c:formatCode>General</c:formatCode>
                <c:ptCount val="17"/>
                <c:pt idx="0">
                  <c:v>260.07934909490001</c:v>
                </c:pt>
                <c:pt idx="1">
                  <c:v>252.98155640760001</c:v>
                </c:pt>
                <c:pt idx="2">
                  <c:v>239.97966686640001</c:v>
                </c:pt>
                <c:pt idx="3">
                  <c:v>238.26242383760001</c:v>
                </c:pt>
                <c:pt idx="4">
                  <c:v>234.9851477258</c:v>
                </c:pt>
                <c:pt idx="5">
                  <c:v>231.62681393060001</c:v>
                </c:pt>
                <c:pt idx="6">
                  <c:v>228.7887520514</c:v>
                </c:pt>
                <c:pt idx="7">
                  <c:v>228.06121958</c:v>
                </c:pt>
                <c:pt idx="8">
                  <c:v>224.94589810849999</c:v>
                </c:pt>
                <c:pt idx="9">
                  <c:v>220.5359701262</c:v>
                </c:pt>
                <c:pt idx="10">
                  <c:v>219.10032547</c:v>
                </c:pt>
                <c:pt idx="11">
                  <c:v>218.3555646794</c:v>
                </c:pt>
                <c:pt idx="12">
                  <c:v>217.62252804889999</c:v>
                </c:pt>
                <c:pt idx="13">
                  <c:v>216.90263157929999</c:v>
                </c:pt>
                <c:pt idx="14">
                  <c:v>216.26112358930001</c:v>
                </c:pt>
                <c:pt idx="15">
                  <c:v>214.97465193119999</c:v>
                </c:pt>
                <c:pt idx="16">
                  <c:v>210.59091569360001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17-9C40-A269-DD8E4FE0D7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8533216"/>
        <c:axId val="1828543728"/>
      </c:scatterChart>
      <c:valAx>
        <c:axId val="1828533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8543728"/>
        <c:crosses val="autoZero"/>
        <c:crossBetween val="midCat"/>
      </c:valAx>
      <c:valAx>
        <c:axId val="182854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8533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16</xdr:row>
      <xdr:rowOff>31750</xdr:rowOff>
    </xdr:from>
    <xdr:to>
      <xdr:col>14</xdr:col>
      <xdr:colOff>463550</xdr:colOff>
      <xdr:row>29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EF4A76-BBFF-D35C-19AE-5AC7A34C90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34</xdr:row>
      <xdr:rowOff>0</xdr:rowOff>
    </xdr:from>
    <xdr:to>
      <xdr:col>15</xdr:col>
      <xdr:colOff>444500</xdr:colOff>
      <xdr:row>47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104E67-0DC0-0547-A1E0-366A94F857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EACE8-C59E-1841-B4EC-B26D7C791C62}">
  <dimension ref="A1:P102"/>
  <sheetViews>
    <sheetView topLeftCell="A43" zoomScale="131" zoomScaleNormal="193" workbookViewId="0">
      <selection activeCell="M34" sqref="M34:M60"/>
    </sheetView>
  </sheetViews>
  <sheetFormatPr baseColWidth="10" defaultRowHeight="16" x14ac:dyDescent="0.2"/>
  <cols>
    <col min="5" max="5" width="15.6640625" customWidth="1"/>
    <col min="6" max="6" width="34.5" customWidth="1"/>
    <col min="9" max="9" width="16" customWidth="1"/>
    <col min="10" max="10" width="18" customWidth="1"/>
    <col min="11" max="11" width="15.83203125" customWidth="1"/>
    <col min="12" max="12" width="17.5" customWidth="1"/>
    <col min="13" max="13" width="29.83203125" customWidth="1"/>
  </cols>
  <sheetData>
    <row r="1" spans="1:12" x14ac:dyDescent="0.2">
      <c r="A1" t="s">
        <v>0</v>
      </c>
    </row>
    <row r="3" spans="1:12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</row>
    <row r="4" spans="1:12" x14ac:dyDescent="0.2">
      <c r="A4" s="2" t="s">
        <v>13</v>
      </c>
      <c r="B4" s="2">
        <v>3287.8775000000001</v>
      </c>
      <c r="C4" s="2">
        <v>3348.84</v>
      </c>
      <c r="D4" s="2" t="s">
        <v>14</v>
      </c>
      <c r="E4" s="2" t="s">
        <v>15</v>
      </c>
      <c r="F4" s="2" t="s">
        <v>16</v>
      </c>
      <c r="G4" s="2">
        <v>-931.39068999999995</v>
      </c>
      <c r="H4" s="2">
        <v>-953.10392999999999</v>
      </c>
      <c r="I4" s="3">
        <f>G4-$H$4</f>
        <v>21.713240000000042</v>
      </c>
      <c r="J4" s="3">
        <f>H4-$H$4</f>
        <v>0</v>
      </c>
      <c r="K4" s="3">
        <f>I4+$C$30</f>
        <v>225.23104660000004</v>
      </c>
      <c r="L4" s="3">
        <f>J4+$C$30</f>
        <v>203.5178066</v>
      </c>
    </row>
    <row r="5" spans="1:12" x14ac:dyDescent="0.2">
      <c r="A5" s="4" t="s">
        <v>13</v>
      </c>
      <c r="B5" s="4">
        <v>3218.6878999999999</v>
      </c>
      <c r="C5" s="4">
        <v>3224.7838999999999</v>
      </c>
      <c r="D5" s="4" t="s">
        <v>17</v>
      </c>
      <c r="E5" s="4" t="s">
        <v>18</v>
      </c>
      <c r="F5" s="4" t="s">
        <v>19</v>
      </c>
      <c r="G5" s="4">
        <v>-906.60261000000003</v>
      </c>
      <c r="H5" s="4">
        <v>-908.88679999999999</v>
      </c>
      <c r="I5" s="5">
        <f t="shared" ref="I5:I13" si="0">G5-$H$4</f>
        <v>46.501319999999964</v>
      </c>
      <c r="J5" s="5">
        <f t="shared" ref="J5:J13" si="1">H5-$H$4</f>
        <v>44.217129999999997</v>
      </c>
      <c r="K5" s="5">
        <f t="shared" ref="K5:K13" si="2">I5+$C$30</f>
        <v>250.01912659999996</v>
      </c>
      <c r="L5" s="5">
        <f t="shared" ref="L5:L13" si="3">J5+$C$30</f>
        <v>247.7349366</v>
      </c>
    </row>
    <row r="6" spans="1:12" x14ac:dyDescent="0.2">
      <c r="A6" s="6" t="s">
        <v>13</v>
      </c>
      <c r="B6" s="6">
        <v>3084.5758999999998</v>
      </c>
      <c r="C6" s="6">
        <v>3090.6718999999998</v>
      </c>
      <c r="D6" s="6" t="s">
        <v>20</v>
      </c>
      <c r="E6" s="6" t="s">
        <v>18</v>
      </c>
      <c r="F6" s="6" t="s">
        <v>21</v>
      </c>
      <c r="G6" s="6">
        <v>-849.73920999999996</v>
      </c>
      <c r="H6" s="6">
        <v>-852.29092000000003</v>
      </c>
      <c r="I6" s="7">
        <f t="shared" si="0"/>
        <v>103.36472000000003</v>
      </c>
      <c r="J6" s="7">
        <f t="shared" si="1"/>
        <v>100.81300999999996</v>
      </c>
      <c r="K6" s="7">
        <f t="shared" si="2"/>
        <v>306.88252660000001</v>
      </c>
      <c r="L6" s="7">
        <f t="shared" si="3"/>
        <v>304.33081659999993</v>
      </c>
    </row>
    <row r="7" spans="1:12" x14ac:dyDescent="0.2">
      <c r="A7" s="8" t="s">
        <v>13</v>
      </c>
      <c r="B7" s="8">
        <v>3069.3359</v>
      </c>
      <c r="C7" s="8">
        <v>3071.1646999999998</v>
      </c>
      <c r="D7" s="8" t="s">
        <v>22</v>
      </c>
      <c r="E7" s="8" t="s">
        <v>18</v>
      </c>
      <c r="F7" s="8" t="s">
        <v>23</v>
      </c>
      <c r="G7" s="8">
        <v>-843.43539999999996</v>
      </c>
      <c r="H7" s="8">
        <v>-844.18614000000002</v>
      </c>
      <c r="I7" s="9">
        <f t="shared" si="0"/>
        <v>109.66853000000003</v>
      </c>
      <c r="J7" s="9">
        <f t="shared" si="1"/>
        <v>108.91778999999997</v>
      </c>
      <c r="K7" s="9">
        <f t="shared" si="2"/>
        <v>313.1863366</v>
      </c>
      <c r="L7" s="9">
        <f t="shared" si="3"/>
        <v>312.43559659999994</v>
      </c>
    </row>
    <row r="8" spans="1:12" x14ac:dyDescent="0.2">
      <c r="A8" s="10" t="s">
        <v>13</v>
      </c>
      <c r="B8" s="10">
        <v>3054.0958999999998</v>
      </c>
      <c r="C8" s="10">
        <v>3055.9247</v>
      </c>
      <c r="D8" s="10" t="s">
        <v>24</v>
      </c>
      <c r="E8" s="10" t="s">
        <v>18</v>
      </c>
      <c r="F8" s="10" t="s">
        <v>25</v>
      </c>
      <c r="G8" s="10">
        <v>-837.24437</v>
      </c>
      <c r="H8" s="10">
        <v>-837.98108999999999</v>
      </c>
      <c r="I8" s="11">
        <f t="shared" si="0"/>
        <v>115.85955999999999</v>
      </c>
      <c r="J8" s="11">
        <f t="shared" si="1"/>
        <v>115.12284</v>
      </c>
      <c r="K8" s="11">
        <f t="shared" si="2"/>
        <v>319.37736659999996</v>
      </c>
      <c r="L8" s="11">
        <f t="shared" si="3"/>
        <v>318.64064659999997</v>
      </c>
    </row>
    <row r="9" spans="1:12" x14ac:dyDescent="0.2">
      <c r="A9" s="12" t="s">
        <v>13</v>
      </c>
      <c r="B9" s="12">
        <v>3035.5030999999999</v>
      </c>
      <c r="C9" s="12">
        <v>3040.6846999999998</v>
      </c>
      <c r="D9" s="12" t="s">
        <v>26</v>
      </c>
      <c r="E9" s="12" t="s">
        <v>18</v>
      </c>
      <c r="F9" s="12" t="s">
        <v>27</v>
      </c>
      <c r="G9" s="12">
        <v>-829.84916999999996</v>
      </c>
      <c r="H9" s="12">
        <v>-831.89391999999998</v>
      </c>
      <c r="I9" s="13">
        <f t="shared" si="0"/>
        <v>123.25476000000003</v>
      </c>
      <c r="J9" s="13">
        <f t="shared" si="1"/>
        <v>121.21001000000001</v>
      </c>
      <c r="K9" s="13">
        <f t="shared" si="2"/>
        <v>326.7725666</v>
      </c>
      <c r="L9" s="13">
        <f t="shared" si="3"/>
        <v>324.72781659999998</v>
      </c>
    </row>
    <row r="10" spans="1:12" x14ac:dyDescent="0.2">
      <c r="A10" s="12" t="s">
        <v>13</v>
      </c>
      <c r="B10" s="12">
        <v>2986.4303</v>
      </c>
      <c r="C10" s="12">
        <v>3017.8247000000001</v>
      </c>
      <c r="D10" s="12" t="s">
        <v>28</v>
      </c>
      <c r="E10" s="12">
        <v>1.79</v>
      </c>
      <c r="F10" s="12" t="s">
        <v>29</v>
      </c>
      <c r="G10" s="12">
        <v>-810.30259000000001</v>
      </c>
      <c r="H10" s="12">
        <v>-822.89964999999995</v>
      </c>
      <c r="I10" s="13">
        <f t="shared" si="0"/>
        <v>142.80133999999998</v>
      </c>
      <c r="J10" s="13">
        <f t="shared" si="1"/>
        <v>130.20428000000004</v>
      </c>
      <c r="K10" s="13">
        <f t="shared" si="2"/>
        <v>346.31914659999995</v>
      </c>
      <c r="L10" s="13">
        <f t="shared" si="3"/>
        <v>333.72208660000001</v>
      </c>
    </row>
    <row r="11" spans="1:12" x14ac:dyDescent="0.2">
      <c r="A11" s="14" t="s">
        <v>13</v>
      </c>
      <c r="B11" s="14">
        <v>2909.3159099999998</v>
      </c>
      <c r="C11" s="14">
        <v>2963.5703100000001</v>
      </c>
      <c r="D11" s="14" t="s">
        <v>30</v>
      </c>
      <c r="E11" s="14">
        <v>16.239999999999998</v>
      </c>
      <c r="F11" s="14" t="s">
        <v>31</v>
      </c>
      <c r="G11" s="14">
        <v>-775.63657000000001</v>
      </c>
      <c r="H11" s="14">
        <v>-800.40389000000005</v>
      </c>
      <c r="I11" s="15">
        <f t="shared" si="0"/>
        <v>177.46735999999999</v>
      </c>
      <c r="J11" s="15">
        <f t="shared" si="1"/>
        <v>152.70003999999994</v>
      </c>
      <c r="K11" s="15">
        <f t="shared" si="2"/>
        <v>380.98516659999996</v>
      </c>
      <c r="L11" s="15">
        <f t="shared" si="3"/>
        <v>356.21784659999992</v>
      </c>
    </row>
    <row r="12" spans="1:12" x14ac:dyDescent="0.2">
      <c r="A12" s="4" t="s">
        <v>13</v>
      </c>
      <c r="B12" s="4">
        <v>2840.7359099999999</v>
      </c>
      <c r="C12" s="4">
        <v>2893.4663099999998</v>
      </c>
      <c r="D12" s="4" t="s">
        <v>32</v>
      </c>
      <c r="E12" s="4">
        <v>38.799999999999997</v>
      </c>
      <c r="F12" s="4" t="s">
        <v>33</v>
      </c>
      <c r="G12" s="4">
        <v>-745.06957999999997</v>
      </c>
      <c r="H12" s="4">
        <v>-768.40392999999995</v>
      </c>
      <c r="I12" s="5">
        <f t="shared" si="0"/>
        <v>208.03435000000002</v>
      </c>
      <c r="J12" s="5">
        <f t="shared" si="1"/>
        <v>184.70000000000005</v>
      </c>
      <c r="K12" s="5">
        <f t="shared" si="2"/>
        <v>411.55215659999999</v>
      </c>
      <c r="L12" s="5">
        <f t="shared" si="3"/>
        <v>388.21780660000002</v>
      </c>
    </row>
    <row r="13" spans="1:12" x14ac:dyDescent="0.2">
      <c r="A13" s="10" t="s">
        <v>13</v>
      </c>
      <c r="B13" s="10">
        <v>2825.4959100000001</v>
      </c>
      <c r="C13" s="10">
        <v>2827.3247099999999</v>
      </c>
      <c r="D13" s="10" t="s">
        <v>34</v>
      </c>
      <c r="E13" s="10">
        <v>9.24</v>
      </c>
      <c r="F13" s="10" t="s">
        <v>35</v>
      </c>
      <c r="G13" s="10">
        <v>-738.69800999999995</v>
      </c>
      <c r="H13" s="10">
        <v>-739.45177000000001</v>
      </c>
      <c r="I13" s="11">
        <f t="shared" si="0"/>
        <v>214.40592000000004</v>
      </c>
      <c r="J13" s="11">
        <f t="shared" si="1"/>
        <v>213.65215999999998</v>
      </c>
      <c r="K13" s="11">
        <f t="shared" si="2"/>
        <v>417.92372660000001</v>
      </c>
      <c r="L13" s="11">
        <f t="shared" si="3"/>
        <v>417.16996659999995</v>
      </c>
    </row>
    <row r="16" spans="1:12" x14ac:dyDescent="0.2">
      <c r="A16" t="s">
        <v>1</v>
      </c>
      <c r="B16" t="s">
        <v>2</v>
      </c>
      <c r="C16" t="s">
        <v>3</v>
      </c>
      <c r="D16" t="s">
        <v>4</v>
      </c>
      <c r="E16" t="s">
        <v>5</v>
      </c>
      <c r="F16" t="s">
        <v>6</v>
      </c>
      <c r="G16" t="s">
        <v>7</v>
      </c>
      <c r="H16" t="s">
        <v>8</v>
      </c>
      <c r="I16" s="1" t="s">
        <v>9</v>
      </c>
      <c r="J16" s="1" t="s">
        <v>10</v>
      </c>
      <c r="K16" s="1" t="s">
        <v>11</v>
      </c>
      <c r="L16" s="1" t="s">
        <v>12</v>
      </c>
    </row>
    <row r="17" spans="1:12" x14ac:dyDescent="0.2">
      <c r="A17" s="3" t="s">
        <v>36</v>
      </c>
      <c r="B17" s="3">
        <v>3101.7970999999998</v>
      </c>
      <c r="C17" s="3">
        <v>3327.0488</v>
      </c>
      <c r="D17" s="3" t="s">
        <v>37</v>
      </c>
      <c r="E17" s="3"/>
      <c r="F17" s="3" t="s">
        <v>38</v>
      </c>
      <c r="G17" s="3">
        <v>-805.54543053400005</v>
      </c>
      <c r="H17" s="3">
        <v>-902.92444219599997</v>
      </c>
      <c r="I17" s="3">
        <f t="shared" ref="I17:J22" si="4">G17-$H$4</f>
        <v>147.55849946599994</v>
      </c>
      <c r="J17" s="3">
        <f t="shared" si="4"/>
        <v>50.179487804000019</v>
      </c>
      <c r="K17" s="3">
        <f t="shared" ref="K17:L22" si="5">I17+$C$30</f>
        <v>351.07630606599992</v>
      </c>
      <c r="L17" s="3">
        <f t="shared" si="5"/>
        <v>253.69729440400002</v>
      </c>
    </row>
    <row r="18" spans="1:12" x14ac:dyDescent="0.2">
      <c r="A18" s="5" t="s">
        <v>36</v>
      </c>
      <c r="B18" s="5">
        <v>2943.9107049999998</v>
      </c>
      <c r="C18" s="5">
        <v>2969.2091049999999</v>
      </c>
      <c r="D18" s="5" t="s">
        <v>14</v>
      </c>
      <c r="E18" s="5">
        <v>0</v>
      </c>
      <c r="F18" s="5" t="s">
        <v>39</v>
      </c>
      <c r="G18" s="5">
        <v>-741.79928957200002</v>
      </c>
      <c r="H18" s="5">
        <v>-752.68338891899998</v>
      </c>
      <c r="I18" s="5">
        <f t="shared" si="4"/>
        <v>211.30464042799997</v>
      </c>
      <c r="J18" s="5">
        <f t="shared" si="4"/>
        <v>200.42054108100001</v>
      </c>
      <c r="K18" s="5">
        <f t="shared" si="5"/>
        <v>414.82244702799994</v>
      </c>
      <c r="L18" s="5">
        <f t="shared" si="5"/>
        <v>403.93834768099998</v>
      </c>
    </row>
    <row r="19" spans="1:12" x14ac:dyDescent="0.2">
      <c r="A19" s="9" t="s">
        <v>36</v>
      </c>
      <c r="B19" s="9">
        <v>2864.357908</v>
      </c>
      <c r="C19" s="9">
        <v>2889.6563070000002</v>
      </c>
      <c r="D19" s="9" t="s">
        <v>17</v>
      </c>
      <c r="E19" s="9">
        <v>0</v>
      </c>
      <c r="F19" s="9" t="s">
        <v>40</v>
      </c>
      <c r="G19" s="9">
        <v>-709.50799343699998</v>
      </c>
      <c r="H19" s="9">
        <v>-720.35195060700005</v>
      </c>
      <c r="I19" s="9">
        <f t="shared" si="4"/>
        <v>243.59593656300001</v>
      </c>
      <c r="J19" s="9">
        <f t="shared" si="4"/>
        <v>232.75197939299994</v>
      </c>
      <c r="K19" s="9">
        <f t="shared" si="5"/>
        <v>447.11374316299998</v>
      </c>
      <c r="L19" s="9">
        <f t="shared" si="5"/>
        <v>436.26978599299991</v>
      </c>
    </row>
    <row r="20" spans="1:12" x14ac:dyDescent="0.2">
      <c r="A20" s="11" t="s">
        <v>36</v>
      </c>
      <c r="B20" s="11">
        <v>2814.3707100000001</v>
      </c>
      <c r="C20" s="11">
        <v>2853.3851079999999</v>
      </c>
      <c r="D20" s="11" t="s">
        <v>20</v>
      </c>
      <c r="E20" s="11">
        <v>1</v>
      </c>
      <c r="F20" s="11" t="s">
        <v>41</v>
      </c>
      <c r="G20" s="11">
        <v>-685.681277099</v>
      </c>
      <c r="H20" s="11">
        <v>-704.54568287699999</v>
      </c>
      <c r="I20" s="11">
        <f t="shared" si="4"/>
        <v>267.42265290099999</v>
      </c>
      <c r="J20" s="11">
        <f t="shared" si="4"/>
        <v>248.558247123</v>
      </c>
      <c r="K20" s="11">
        <f t="shared" si="5"/>
        <v>470.94045950099996</v>
      </c>
      <c r="L20" s="11">
        <f t="shared" si="5"/>
        <v>452.07605372299997</v>
      </c>
    </row>
    <row r="21" spans="1:12" x14ac:dyDescent="0.2">
      <c r="A21" s="13" t="s">
        <v>36</v>
      </c>
      <c r="B21" s="13">
        <v>2720.7971130000001</v>
      </c>
      <c r="C21" s="13">
        <v>2751.2771120000002</v>
      </c>
      <c r="D21" s="13" t="s">
        <v>22</v>
      </c>
      <c r="E21" s="13">
        <v>0.2</v>
      </c>
      <c r="F21" s="13" t="s">
        <v>42</v>
      </c>
      <c r="G21" s="13">
        <v>-641.03533857699995</v>
      </c>
      <c r="H21" s="13">
        <v>-655.376482839</v>
      </c>
      <c r="I21" s="13">
        <f t="shared" si="4"/>
        <v>312.06859142300004</v>
      </c>
      <c r="J21" s="13">
        <f t="shared" si="4"/>
        <v>297.72744716099999</v>
      </c>
      <c r="K21" s="13">
        <f t="shared" si="5"/>
        <v>515.58639802300002</v>
      </c>
      <c r="L21" s="13">
        <f t="shared" si="5"/>
        <v>501.24525376099996</v>
      </c>
    </row>
    <row r="22" spans="1:12" x14ac:dyDescent="0.2">
      <c r="A22" s="13" t="s">
        <v>36</v>
      </c>
      <c r="B22" s="13">
        <v>2664.7139139999999</v>
      </c>
      <c r="C22" s="13">
        <v>2697.937113</v>
      </c>
      <c r="D22" s="13" t="s">
        <v>24</v>
      </c>
      <c r="E22" s="13" t="s">
        <v>43</v>
      </c>
      <c r="F22" s="13" t="s">
        <v>44</v>
      </c>
      <c r="G22" s="13">
        <v>-615.91199502500001</v>
      </c>
      <c r="H22" s="13">
        <v>-630.64092719799999</v>
      </c>
      <c r="I22" s="13">
        <f t="shared" si="4"/>
        <v>337.19193497499998</v>
      </c>
      <c r="J22" s="13">
        <f t="shared" si="4"/>
        <v>322.46300280200001</v>
      </c>
      <c r="K22" s="13">
        <f t="shared" si="5"/>
        <v>540.70974157499995</v>
      </c>
      <c r="L22" s="13">
        <f t="shared" si="5"/>
        <v>525.98080940199998</v>
      </c>
    </row>
    <row r="25" spans="1:12" x14ac:dyDescent="0.2">
      <c r="A25" t="s">
        <v>105</v>
      </c>
    </row>
    <row r="26" spans="1:12" x14ac:dyDescent="0.2">
      <c r="A26" t="s">
        <v>97</v>
      </c>
    </row>
    <row r="27" spans="1:12" x14ac:dyDescent="0.2">
      <c r="A27" t="s">
        <v>96</v>
      </c>
      <c r="B27">
        <v>0.90903476000000005</v>
      </c>
      <c r="C27">
        <v>9.7972989999999996E-2</v>
      </c>
      <c r="D27">
        <v>-0.40503961999999999</v>
      </c>
    </row>
    <row r="29" spans="1:12" x14ac:dyDescent="0.2">
      <c r="A29" t="s">
        <v>45</v>
      </c>
      <c r="B29" t="s">
        <v>46</v>
      </c>
      <c r="C29" t="s">
        <v>47</v>
      </c>
      <c r="D29" t="s">
        <v>48</v>
      </c>
    </row>
    <row r="30" spans="1:12" x14ac:dyDescent="0.2">
      <c r="A30">
        <v>419.08114440000003</v>
      </c>
      <c r="B30">
        <v>264.85162179999998</v>
      </c>
      <c r="C30">
        <v>203.5178066</v>
      </c>
      <c r="E30" t="s">
        <v>49</v>
      </c>
    </row>
    <row r="31" spans="1:12" x14ac:dyDescent="0.2">
      <c r="E31" t="s">
        <v>50</v>
      </c>
    </row>
    <row r="32" spans="1:12" x14ac:dyDescent="0.2">
      <c r="A32" t="s">
        <v>51</v>
      </c>
    </row>
    <row r="33" spans="1:15" x14ac:dyDescent="0.2">
      <c r="A33" s="25" t="s">
        <v>4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 t="s">
        <v>57</v>
      </c>
      <c r="H33" t="s">
        <v>58</v>
      </c>
      <c r="I33" t="s">
        <v>59</v>
      </c>
      <c r="J33" t="s">
        <v>60</v>
      </c>
      <c r="K33" t="s">
        <v>61</v>
      </c>
      <c r="L33" t="s">
        <v>62</v>
      </c>
      <c r="M33" t="s">
        <v>121</v>
      </c>
      <c r="N33" t="s">
        <v>98</v>
      </c>
      <c r="O33" t="s">
        <v>99</v>
      </c>
    </row>
    <row r="34" spans="1:15" x14ac:dyDescent="0.2">
      <c r="A34" s="25">
        <v>1</v>
      </c>
      <c r="B34">
        <f>33.92*0.5*0.5</f>
        <v>8.48</v>
      </c>
      <c r="C34">
        <v>10787</v>
      </c>
      <c r="D34">
        <v>10987</v>
      </c>
      <c r="E34">
        <f t="shared" ref="E34:E60" si="6">D34-$D$34</f>
        <v>0</v>
      </c>
      <c r="F34">
        <f>E34*0.3048</f>
        <v>0</v>
      </c>
      <c r="G34">
        <f t="shared" ref="G34:G60" si="7">$D$27*F34+$C$30</f>
        <v>203.5178066</v>
      </c>
      <c r="H34">
        <f t="shared" ref="H34:H60" si="8">-SIN(25/180*PI())*F34+$C$30</f>
        <v>203.5178066</v>
      </c>
      <c r="I34">
        <f>(D34-C34)*0.3048</f>
        <v>60.96</v>
      </c>
      <c r="J34">
        <f>G34+I34/2</f>
        <v>233.99780659999999</v>
      </c>
      <c r="K34">
        <f>H34+I34/2</f>
        <v>233.99780659999999</v>
      </c>
      <c r="M34">
        <f>K34+50</f>
        <v>283.99780659999999</v>
      </c>
      <c r="N34">
        <f>-2.151*K34+856.84</f>
        <v>353.51071800340009</v>
      </c>
      <c r="O34">
        <f>-0.2318*K34+312.03</f>
        <v>257.78930843011995</v>
      </c>
    </row>
    <row r="35" spans="1:15" x14ac:dyDescent="0.2">
      <c r="A35" s="25">
        <v>2</v>
      </c>
      <c r="B35">
        <f>33.92*0.1*0.5</f>
        <v>1.6960000000000002</v>
      </c>
      <c r="C35">
        <v>10570</v>
      </c>
      <c r="D35">
        <v>10570</v>
      </c>
      <c r="E35">
        <f t="shared" si="6"/>
        <v>-417</v>
      </c>
      <c r="F35">
        <f t="shared" ref="F35:F60" si="9">E35*0.3048</f>
        <v>-127.1016</v>
      </c>
      <c r="G35">
        <f t="shared" si="7"/>
        <v>254.99899036539199</v>
      </c>
      <c r="H35">
        <f t="shared" si="8"/>
        <v>257.23326385646169</v>
      </c>
      <c r="I35">
        <f t="shared" ref="I35:I60" si="10">(D35-C35)*0.3048</f>
        <v>0</v>
      </c>
      <c r="J35">
        <f t="shared" ref="J35:J60" si="11">G35+I35/2</f>
        <v>254.99899036539199</v>
      </c>
      <c r="K35">
        <f t="shared" ref="K35:K60" si="12">H35+I35/2</f>
        <v>257.23326385646169</v>
      </c>
      <c r="L35">
        <f>K35-K34</f>
        <v>23.2354572564617</v>
      </c>
      <c r="M35">
        <f t="shared" ref="M35:M60" si="13">K35+50</f>
        <v>307.23326385646169</v>
      </c>
      <c r="N35">
        <f t="shared" ref="N35:N60" si="14">-2.151*K35+856.84</f>
        <v>303.53124944475098</v>
      </c>
      <c r="O35">
        <f t="shared" ref="O35:O60" si="15">-0.2318*K35+312.03</f>
        <v>252.40332943807215</v>
      </c>
    </row>
    <row r="36" spans="1:15" x14ac:dyDescent="0.2">
      <c r="A36" s="25">
        <v>3</v>
      </c>
      <c r="B36">
        <f>33.92*0.4*0.5</f>
        <v>6.7840000000000007</v>
      </c>
      <c r="C36">
        <v>10130</v>
      </c>
      <c r="D36">
        <v>10130</v>
      </c>
      <c r="E36">
        <f t="shared" si="6"/>
        <v>-857</v>
      </c>
      <c r="F36">
        <f t="shared" si="9"/>
        <v>-261.21359999999999</v>
      </c>
      <c r="G36">
        <f t="shared" si="7"/>
        <v>309.319663882832</v>
      </c>
      <c r="H36">
        <f t="shared" si="8"/>
        <v>313.9114441750304</v>
      </c>
      <c r="I36">
        <f t="shared" si="10"/>
        <v>0</v>
      </c>
      <c r="J36">
        <f t="shared" si="11"/>
        <v>309.319663882832</v>
      </c>
      <c r="K36">
        <f t="shared" si="12"/>
        <v>313.9114441750304</v>
      </c>
      <c r="L36">
        <f t="shared" ref="L36:L60" si="16">K36-K35</f>
        <v>56.678180318568707</v>
      </c>
      <c r="M36">
        <f t="shared" si="13"/>
        <v>363.9114441750304</v>
      </c>
      <c r="N36">
        <f t="shared" si="14"/>
        <v>181.61648357950969</v>
      </c>
      <c r="O36">
        <f t="shared" si="15"/>
        <v>239.26532724022792</v>
      </c>
    </row>
    <row r="37" spans="1:15" x14ac:dyDescent="0.2">
      <c r="A37" s="25">
        <v>4</v>
      </c>
      <c r="B37">
        <f>33.92*0.5*0.5</f>
        <v>8.48</v>
      </c>
      <c r="C37">
        <v>10072</v>
      </c>
      <c r="D37">
        <v>10072</v>
      </c>
      <c r="E37">
        <f t="shared" si="6"/>
        <v>-915</v>
      </c>
      <c r="F37">
        <f t="shared" si="9"/>
        <v>-278.892</v>
      </c>
      <c r="G37">
        <f t="shared" si="7"/>
        <v>316.48011630103997</v>
      </c>
      <c r="H37">
        <f t="shared" si="8"/>
        <v>321.38265885338717</v>
      </c>
      <c r="I37">
        <f t="shared" si="10"/>
        <v>0</v>
      </c>
      <c r="J37">
        <f t="shared" si="11"/>
        <v>316.48011630103997</v>
      </c>
      <c r="K37">
        <f t="shared" si="12"/>
        <v>321.38265885338717</v>
      </c>
      <c r="L37">
        <f t="shared" si="16"/>
        <v>7.4712146783567732</v>
      </c>
      <c r="M37">
        <f t="shared" si="13"/>
        <v>371.38265885338717</v>
      </c>
      <c r="N37">
        <f t="shared" si="14"/>
        <v>165.54590080636433</v>
      </c>
      <c r="O37">
        <f t="shared" si="15"/>
        <v>237.53349967778485</v>
      </c>
    </row>
    <row r="38" spans="1:15" x14ac:dyDescent="0.2">
      <c r="A38" s="25">
        <v>5</v>
      </c>
      <c r="B38">
        <f>33.92*0.5*0.5</f>
        <v>8.48</v>
      </c>
      <c r="C38">
        <v>10022</v>
      </c>
      <c r="D38">
        <v>10022</v>
      </c>
      <c r="E38">
        <f t="shared" si="6"/>
        <v>-965</v>
      </c>
      <c r="F38">
        <f t="shared" si="9"/>
        <v>-294.13200000000001</v>
      </c>
      <c r="G38">
        <f t="shared" si="7"/>
        <v>322.65292010984001</v>
      </c>
      <c r="H38">
        <f t="shared" si="8"/>
        <v>327.82336116231539</v>
      </c>
      <c r="I38">
        <f t="shared" si="10"/>
        <v>0</v>
      </c>
      <c r="J38">
        <f t="shared" si="11"/>
        <v>322.65292010984001</v>
      </c>
      <c r="K38">
        <f t="shared" si="12"/>
        <v>327.82336116231539</v>
      </c>
      <c r="L38">
        <f t="shared" si="16"/>
        <v>6.4407023089282234</v>
      </c>
      <c r="M38">
        <f t="shared" si="13"/>
        <v>377.82336116231539</v>
      </c>
      <c r="N38">
        <f t="shared" si="14"/>
        <v>151.69195013985973</v>
      </c>
      <c r="O38">
        <f t="shared" si="15"/>
        <v>236.04054488257526</v>
      </c>
    </row>
    <row r="39" spans="1:15" x14ac:dyDescent="0.2">
      <c r="A39" s="25" t="s">
        <v>116</v>
      </c>
      <c r="C39">
        <v>9970</v>
      </c>
      <c r="D39">
        <v>9976</v>
      </c>
      <c r="E39">
        <f t="shared" si="6"/>
        <v>-1011</v>
      </c>
      <c r="F39">
        <f t="shared" si="9"/>
        <v>-308.15280000000001</v>
      </c>
      <c r="G39">
        <f t="shared" si="7"/>
        <v>328.331899613936</v>
      </c>
      <c r="H39">
        <f t="shared" si="8"/>
        <v>333.74880728652943</v>
      </c>
      <c r="I39">
        <f t="shared" si="10"/>
        <v>1.8288000000000002</v>
      </c>
      <c r="J39">
        <f t="shared" si="11"/>
        <v>329.246299613936</v>
      </c>
      <c r="K39">
        <f t="shared" si="12"/>
        <v>334.66320728652943</v>
      </c>
      <c r="L39">
        <f t="shared" si="16"/>
        <v>6.8398461242140343</v>
      </c>
      <c r="M39">
        <f t="shared" si="13"/>
        <v>384.66320728652943</v>
      </c>
      <c r="N39">
        <f t="shared" si="14"/>
        <v>136.97944112667528</v>
      </c>
      <c r="O39">
        <f t="shared" si="15"/>
        <v>234.45506855098245</v>
      </c>
    </row>
    <row r="40" spans="1:15" x14ac:dyDescent="0.2">
      <c r="A40" s="25" t="s">
        <v>117</v>
      </c>
      <c r="C40">
        <v>9959</v>
      </c>
      <c r="D40">
        <v>9962</v>
      </c>
      <c r="E40">
        <f t="shared" si="6"/>
        <v>-1025</v>
      </c>
      <c r="F40">
        <f t="shared" si="9"/>
        <v>-312.42</v>
      </c>
      <c r="G40">
        <f t="shared" si="7"/>
        <v>330.0602846804</v>
      </c>
      <c r="H40">
        <f t="shared" si="8"/>
        <v>335.55220393302932</v>
      </c>
      <c r="I40">
        <f t="shared" si="10"/>
        <v>0.9144000000000001</v>
      </c>
      <c r="J40">
        <f t="shared" si="11"/>
        <v>330.5174846804</v>
      </c>
      <c r="K40">
        <f t="shared" si="12"/>
        <v>336.00940393302932</v>
      </c>
      <c r="L40">
        <f t="shared" si="16"/>
        <v>1.3461966464998909</v>
      </c>
      <c r="M40">
        <f t="shared" si="13"/>
        <v>386.00940393302932</v>
      </c>
      <c r="N40">
        <f t="shared" si="14"/>
        <v>134.08377214005407</v>
      </c>
      <c r="O40">
        <f t="shared" si="15"/>
        <v>234.14302016832377</v>
      </c>
    </row>
    <row r="41" spans="1:15" x14ac:dyDescent="0.2">
      <c r="A41" s="25" t="s">
        <v>118</v>
      </c>
      <c r="C41">
        <v>9901</v>
      </c>
      <c r="D41">
        <v>9898</v>
      </c>
      <c r="E41">
        <f t="shared" si="6"/>
        <v>-1089</v>
      </c>
      <c r="F41">
        <f t="shared" si="9"/>
        <v>-331.92720000000003</v>
      </c>
      <c r="G41">
        <f t="shared" si="7"/>
        <v>337.96147355566404</v>
      </c>
      <c r="H41">
        <f t="shared" si="8"/>
        <v>343.79630288845749</v>
      </c>
      <c r="I41">
        <f t="shared" si="10"/>
        <v>-0.9144000000000001</v>
      </c>
      <c r="J41">
        <f t="shared" si="11"/>
        <v>337.50427355566404</v>
      </c>
      <c r="K41">
        <f t="shared" si="12"/>
        <v>343.33910288845749</v>
      </c>
      <c r="L41">
        <f t="shared" si="16"/>
        <v>7.3296989554281708</v>
      </c>
      <c r="M41">
        <f t="shared" si="13"/>
        <v>393.33910288845749</v>
      </c>
      <c r="N41">
        <f t="shared" si="14"/>
        <v>118.31758968692805</v>
      </c>
      <c r="O41">
        <f t="shared" si="15"/>
        <v>232.44399595045553</v>
      </c>
    </row>
    <row r="42" spans="1:15" x14ac:dyDescent="0.2">
      <c r="A42" s="25" t="s">
        <v>119</v>
      </c>
      <c r="C42">
        <v>9853</v>
      </c>
      <c r="D42">
        <v>9850</v>
      </c>
      <c r="E42">
        <f t="shared" si="6"/>
        <v>-1137</v>
      </c>
      <c r="F42">
        <f t="shared" si="9"/>
        <v>-346.55760000000004</v>
      </c>
      <c r="G42">
        <f t="shared" si="7"/>
        <v>343.887365212112</v>
      </c>
      <c r="H42">
        <f t="shared" si="8"/>
        <v>349.97937710502868</v>
      </c>
      <c r="I42">
        <f t="shared" si="10"/>
        <v>-0.9144000000000001</v>
      </c>
      <c r="J42">
        <f t="shared" si="11"/>
        <v>343.430165212112</v>
      </c>
      <c r="K42">
        <f t="shared" si="12"/>
        <v>349.52217710502867</v>
      </c>
      <c r="L42">
        <f t="shared" si="16"/>
        <v>6.1830742165711854</v>
      </c>
      <c r="M42">
        <f t="shared" si="13"/>
        <v>399.52217710502867</v>
      </c>
      <c r="N42">
        <f t="shared" si="14"/>
        <v>105.01779704708338</v>
      </c>
      <c r="O42">
        <f t="shared" si="15"/>
        <v>231.01075934705432</v>
      </c>
    </row>
    <row r="43" spans="1:15" x14ac:dyDescent="0.2">
      <c r="A43" s="25" t="s">
        <v>120</v>
      </c>
      <c r="C43">
        <v>9801</v>
      </c>
      <c r="D43">
        <v>9798</v>
      </c>
      <c r="E43">
        <f t="shared" si="6"/>
        <v>-1189</v>
      </c>
      <c r="F43">
        <f t="shared" si="9"/>
        <v>-362.40720000000005</v>
      </c>
      <c r="G43">
        <f t="shared" si="7"/>
        <v>350.30708117326401</v>
      </c>
      <c r="H43">
        <f t="shared" si="8"/>
        <v>356.67770750631405</v>
      </c>
      <c r="I43">
        <f t="shared" si="10"/>
        <v>-0.9144000000000001</v>
      </c>
      <c r="J43">
        <f t="shared" si="11"/>
        <v>349.84988117326401</v>
      </c>
      <c r="K43">
        <f t="shared" si="12"/>
        <v>356.22050750631405</v>
      </c>
      <c r="L43">
        <f t="shared" si="16"/>
        <v>6.698330401285375</v>
      </c>
      <c r="M43">
        <f t="shared" si="13"/>
        <v>406.22050750631405</v>
      </c>
      <c r="N43">
        <f t="shared" si="14"/>
        <v>90.609688353918614</v>
      </c>
      <c r="O43">
        <f t="shared" si="15"/>
        <v>229.45808636003636</v>
      </c>
    </row>
    <row r="44" spans="1:15" x14ac:dyDescent="0.2">
      <c r="A44" s="25" t="s">
        <v>108</v>
      </c>
      <c r="C44">
        <v>9720</v>
      </c>
      <c r="D44">
        <v>9723</v>
      </c>
      <c r="E44">
        <f t="shared" si="6"/>
        <v>-1264</v>
      </c>
      <c r="F44">
        <f t="shared" si="9"/>
        <v>-385.2672</v>
      </c>
      <c r="G44">
        <f t="shared" si="7"/>
        <v>359.56628688646401</v>
      </c>
      <c r="H44">
        <f t="shared" si="8"/>
        <v>366.33876096970641</v>
      </c>
      <c r="I44">
        <f t="shared" si="10"/>
        <v>0.9144000000000001</v>
      </c>
      <c r="J44">
        <f t="shared" si="11"/>
        <v>360.02348688646401</v>
      </c>
      <c r="K44">
        <f t="shared" si="12"/>
        <v>366.79596096970641</v>
      </c>
      <c r="L44">
        <f t="shared" si="16"/>
        <v>10.575453463392364</v>
      </c>
      <c r="M44">
        <f t="shared" si="13"/>
        <v>416.79596096970641</v>
      </c>
      <c r="N44">
        <f t="shared" si="14"/>
        <v>67.861887954161602</v>
      </c>
      <c r="O44">
        <f t="shared" si="15"/>
        <v>227.00669624722201</v>
      </c>
    </row>
    <row r="45" spans="1:15" x14ac:dyDescent="0.2">
      <c r="A45" s="25" t="s">
        <v>109</v>
      </c>
      <c r="C45">
        <v>9695</v>
      </c>
      <c r="D45">
        <v>9698</v>
      </c>
      <c r="E45">
        <f t="shared" si="6"/>
        <v>-1289</v>
      </c>
      <c r="F45">
        <f t="shared" si="9"/>
        <v>-392.88720000000001</v>
      </c>
      <c r="G45">
        <f t="shared" si="7"/>
        <v>362.65268879086398</v>
      </c>
      <c r="H45">
        <f t="shared" si="8"/>
        <v>369.5591121241705</v>
      </c>
      <c r="I45">
        <f t="shared" si="10"/>
        <v>0.9144000000000001</v>
      </c>
      <c r="J45">
        <f t="shared" si="11"/>
        <v>363.10988879086398</v>
      </c>
      <c r="K45">
        <f t="shared" si="12"/>
        <v>370.0163121241705</v>
      </c>
      <c r="L45">
        <f t="shared" si="16"/>
        <v>3.2203511544640833</v>
      </c>
      <c r="M45">
        <f t="shared" si="13"/>
        <v>420.0163121241705</v>
      </c>
      <c r="N45">
        <f t="shared" si="14"/>
        <v>60.934912620909358</v>
      </c>
      <c r="O45">
        <f t="shared" si="15"/>
        <v>226.26021884961725</v>
      </c>
    </row>
    <row r="46" spans="1:15" x14ac:dyDescent="0.2">
      <c r="A46" s="25" t="s">
        <v>110</v>
      </c>
      <c r="C46">
        <v>9670</v>
      </c>
      <c r="D46">
        <v>9673</v>
      </c>
      <c r="E46">
        <f t="shared" si="6"/>
        <v>-1314</v>
      </c>
      <c r="F46">
        <f t="shared" si="9"/>
        <v>-400.50720000000001</v>
      </c>
      <c r="G46">
        <f t="shared" si="7"/>
        <v>365.739090695264</v>
      </c>
      <c r="H46">
        <f t="shared" si="8"/>
        <v>372.77946327863469</v>
      </c>
      <c r="I46">
        <f t="shared" si="10"/>
        <v>0.9144000000000001</v>
      </c>
      <c r="J46">
        <f t="shared" si="11"/>
        <v>366.196290695264</v>
      </c>
      <c r="K46">
        <f t="shared" si="12"/>
        <v>373.23666327863469</v>
      </c>
      <c r="L46">
        <f t="shared" si="16"/>
        <v>3.220351154464197</v>
      </c>
      <c r="M46">
        <f t="shared" si="13"/>
        <v>423.23666327863469</v>
      </c>
      <c r="N46">
        <f t="shared" si="14"/>
        <v>54.007937287656887</v>
      </c>
      <c r="O46">
        <f t="shared" si="15"/>
        <v>225.51374145201245</v>
      </c>
    </row>
    <row r="47" spans="1:15" x14ac:dyDescent="0.2">
      <c r="A47" s="25" t="s">
        <v>111</v>
      </c>
      <c r="C47">
        <v>9645</v>
      </c>
      <c r="D47">
        <v>9648</v>
      </c>
      <c r="E47">
        <f t="shared" si="6"/>
        <v>-1339</v>
      </c>
      <c r="F47">
        <f t="shared" si="9"/>
        <v>-408.12720000000002</v>
      </c>
      <c r="G47">
        <f t="shared" si="7"/>
        <v>368.82549259966402</v>
      </c>
      <c r="H47">
        <f t="shared" si="8"/>
        <v>375.99981443309878</v>
      </c>
      <c r="I47">
        <f t="shared" si="10"/>
        <v>0.9144000000000001</v>
      </c>
      <c r="J47">
        <f t="shared" si="11"/>
        <v>369.28269259966402</v>
      </c>
      <c r="K47">
        <f t="shared" si="12"/>
        <v>376.45701443309878</v>
      </c>
      <c r="L47">
        <f t="shared" si="16"/>
        <v>3.2203511544640833</v>
      </c>
      <c r="M47">
        <f t="shared" si="13"/>
        <v>426.45701443309878</v>
      </c>
      <c r="N47">
        <f t="shared" si="14"/>
        <v>47.080961954404643</v>
      </c>
      <c r="O47">
        <f t="shared" si="15"/>
        <v>224.76726405440769</v>
      </c>
    </row>
    <row r="48" spans="1:15" x14ac:dyDescent="0.2">
      <c r="A48" s="25" t="s">
        <v>112</v>
      </c>
      <c r="C48">
        <v>9620</v>
      </c>
      <c r="D48">
        <v>9623</v>
      </c>
      <c r="E48">
        <f t="shared" si="6"/>
        <v>-1364</v>
      </c>
      <c r="F48">
        <f t="shared" si="9"/>
        <v>-415.74720000000002</v>
      </c>
      <c r="G48">
        <f t="shared" si="7"/>
        <v>371.91189450406398</v>
      </c>
      <c r="H48">
        <f t="shared" si="8"/>
        <v>379.22016558756292</v>
      </c>
      <c r="I48">
        <f t="shared" si="10"/>
        <v>0.9144000000000001</v>
      </c>
      <c r="J48">
        <f t="shared" si="11"/>
        <v>372.36909450406398</v>
      </c>
      <c r="K48">
        <f t="shared" si="12"/>
        <v>379.67736558756292</v>
      </c>
      <c r="L48">
        <f t="shared" si="16"/>
        <v>3.2203511544641401</v>
      </c>
      <c r="M48">
        <f t="shared" si="13"/>
        <v>429.67736558756292</v>
      </c>
      <c r="N48">
        <f t="shared" si="14"/>
        <v>40.153986621152285</v>
      </c>
      <c r="O48">
        <f t="shared" si="15"/>
        <v>224.0207866568029</v>
      </c>
    </row>
    <row r="49" spans="1:15" x14ac:dyDescent="0.2">
      <c r="A49" s="25" t="s">
        <v>113</v>
      </c>
      <c r="C49">
        <v>9595</v>
      </c>
      <c r="D49">
        <v>9598</v>
      </c>
      <c r="E49">
        <f t="shared" si="6"/>
        <v>-1389</v>
      </c>
      <c r="F49">
        <f t="shared" si="9"/>
        <v>-423.36720000000003</v>
      </c>
      <c r="G49">
        <f t="shared" si="7"/>
        <v>374.998296408464</v>
      </c>
      <c r="H49">
        <f t="shared" si="8"/>
        <v>382.44051674202706</v>
      </c>
      <c r="I49">
        <f t="shared" si="10"/>
        <v>0.9144000000000001</v>
      </c>
      <c r="J49">
        <f t="shared" si="11"/>
        <v>375.455496408464</v>
      </c>
      <c r="K49">
        <f t="shared" si="12"/>
        <v>382.89771674202706</v>
      </c>
      <c r="L49">
        <f t="shared" si="16"/>
        <v>3.2203511544641401</v>
      </c>
      <c r="M49">
        <f t="shared" si="13"/>
        <v>432.89771674202706</v>
      </c>
      <c r="N49">
        <f t="shared" si="14"/>
        <v>33.227011287899927</v>
      </c>
      <c r="O49">
        <f t="shared" si="15"/>
        <v>223.27430925919811</v>
      </c>
    </row>
    <row r="50" spans="1:15" x14ac:dyDescent="0.2">
      <c r="A50" s="25" t="s">
        <v>114</v>
      </c>
      <c r="C50">
        <v>9570</v>
      </c>
      <c r="D50">
        <v>9573</v>
      </c>
      <c r="E50">
        <f t="shared" si="6"/>
        <v>-1414</v>
      </c>
      <c r="F50">
        <f t="shared" si="9"/>
        <v>-430.98720000000003</v>
      </c>
      <c r="G50">
        <f t="shared" si="7"/>
        <v>378.08469831286402</v>
      </c>
      <c r="H50">
        <f t="shared" si="8"/>
        <v>385.6608678964912</v>
      </c>
      <c r="I50">
        <f t="shared" si="10"/>
        <v>0.9144000000000001</v>
      </c>
      <c r="J50">
        <f t="shared" si="11"/>
        <v>378.54189831286402</v>
      </c>
      <c r="K50">
        <f t="shared" si="12"/>
        <v>386.1180678964912</v>
      </c>
      <c r="L50">
        <f t="shared" si="16"/>
        <v>3.2203511544641401</v>
      </c>
      <c r="M50">
        <f t="shared" si="13"/>
        <v>436.1180678964912</v>
      </c>
      <c r="N50">
        <f t="shared" si="14"/>
        <v>26.300035954647569</v>
      </c>
      <c r="O50">
        <f t="shared" si="15"/>
        <v>222.52783186159331</v>
      </c>
    </row>
    <row r="51" spans="1:15" x14ac:dyDescent="0.2">
      <c r="A51" s="25" t="s">
        <v>115</v>
      </c>
      <c r="B51">
        <v>16.239999999999998</v>
      </c>
      <c r="C51">
        <v>9545</v>
      </c>
      <c r="D51">
        <v>9548</v>
      </c>
      <c r="E51">
        <f t="shared" si="6"/>
        <v>-1439</v>
      </c>
      <c r="F51">
        <f t="shared" si="9"/>
        <v>-438.60720000000003</v>
      </c>
      <c r="G51">
        <f t="shared" si="7"/>
        <v>381.17110021726398</v>
      </c>
      <c r="H51">
        <f t="shared" si="8"/>
        <v>388.88121905095534</v>
      </c>
      <c r="I51">
        <f>(D51-C51)*0.3048</f>
        <v>0.9144000000000001</v>
      </c>
      <c r="J51">
        <f t="shared" si="11"/>
        <v>381.62830021726398</v>
      </c>
      <c r="K51">
        <f t="shared" si="12"/>
        <v>389.33841905095534</v>
      </c>
      <c r="L51">
        <f t="shared" si="16"/>
        <v>3.2203511544641401</v>
      </c>
      <c r="M51">
        <f t="shared" si="13"/>
        <v>439.33841905095534</v>
      </c>
      <c r="N51">
        <f t="shared" si="14"/>
        <v>19.373060621395211</v>
      </c>
      <c r="O51">
        <f t="shared" si="15"/>
        <v>221.78135446398852</v>
      </c>
    </row>
    <row r="52" spans="1:15" x14ac:dyDescent="0.2">
      <c r="A52" s="25" t="s">
        <v>106</v>
      </c>
      <c r="C52">
        <v>9490</v>
      </c>
      <c r="D52">
        <v>9493</v>
      </c>
      <c r="E52">
        <f t="shared" si="6"/>
        <v>-1494</v>
      </c>
      <c r="F52">
        <f t="shared" si="9"/>
        <v>-455.37120000000004</v>
      </c>
      <c r="G52">
        <f t="shared" si="7"/>
        <v>387.96118440694397</v>
      </c>
      <c r="H52">
        <f t="shared" si="8"/>
        <v>395.96599159077641</v>
      </c>
      <c r="I52">
        <f t="shared" si="10"/>
        <v>0.9144000000000001</v>
      </c>
      <c r="J52">
        <f t="shared" si="11"/>
        <v>388.41838440694397</v>
      </c>
      <c r="K52">
        <f t="shared" si="12"/>
        <v>396.42319159077641</v>
      </c>
      <c r="L52">
        <f t="shared" si="16"/>
        <v>7.0847725398210741</v>
      </c>
      <c r="M52">
        <f t="shared" si="13"/>
        <v>446.42319159077641</v>
      </c>
      <c r="N52">
        <f t="shared" si="14"/>
        <v>4.1337148882400925</v>
      </c>
      <c r="O52">
        <f t="shared" si="15"/>
        <v>220.13910418925798</v>
      </c>
    </row>
    <row r="53" spans="1:15" x14ac:dyDescent="0.2">
      <c r="A53" s="25" t="s">
        <v>63</v>
      </c>
      <c r="B53">
        <v>4.9400000000000004</v>
      </c>
      <c r="C53">
        <v>9470</v>
      </c>
      <c r="D53">
        <v>9473</v>
      </c>
      <c r="E53">
        <f t="shared" si="6"/>
        <v>-1514</v>
      </c>
      <c r="F53">
        <f t="shared" si="9"/>
        <v>-461.46720000000005</v>
      </c>
      <c r="G53">
        <f t="shared" si="7"/>
        <v>390.43030593046399</v>
      </c>
      <c r="H53">
        <f t="shared" si="8"/>
        <v>398.5422725143477</v>
      </c>
      <c r="I53">
        <f t="shared" si="10"/>
        <v>0.9144000000000001</v>
      </c>
      <c r="J53">
        <f t="shared" si="11"/>
        <v>390.88750593046399</v>
      </c>
      <c r="K53">
        <f t="shared" si="12"/>
        <v>398.9994725143477</v>
      </c>
      <c r="L53">
        <f t="shared" si="16"/>
        <v>2.5762809235712893</v>
      </c>
      <c r="M53">
        <f t="shared" si="13"/>
        <v>448.9994725143477</v>
      </c>
      <c r="N53">
        <f t="shared" si="14"/>
        <v>-1.4078653783617483</v>
      </c>
      <c r="O53">
        <f t="shared" si="15"/>
        <v>219.54192227117417</v>
      </c>
    </row>
    <row r="54" spans="1:15" x14ac:dyDescent="0.2">
      <c r="A54" s="25" t="s">
        <v>107</v>
      </c>
      <c r="C54">
        <v>9445</v>
      </c>
      <c r="D54">
        <v>9448</v>
      </c>
      <c r="E54">
        <f t="shared" si="6"/>
        <v>-1539</v>
      </c>
      <c r="F54">
        <f t="shared" si="9"/>
        <v>-469.0872</v>
      </c>
      <c r="G54">
        <f t="shared" si="7"/>
        <v>393.51670783486395</v>
      </c>
      <c r="H54">
        <f t="shared" si="8"/>
        <v>401.76262366881178</v>
      </c>
      <c r="I54">
        <f t="shared" si="10"/>
        <v>0.9144000000000001</v>
      </c>
      <c r="J54">
        <f t="shared" si="11"/>
        <v>393.97390783486395</v>
      </c>
      <c r="K54">
        <f t="shared" si="12"/>
        <v>402.21982366881178</v>
      </c>
      <c r="L54">
        <f t="shared" si="16"/>
        <v>3.2203511544640833</v>
      </c>
      <c r="M54">
        <f t="shared" si="13"/>
        <v>452.21982366881178</v>
      </c>
      <c r="N54">
        <f t="shared" si="14"/>
        <v>-8.3348407116139924</v>
      </c>
      <c r="O54">
        <f t="shared" si="15"/>
        <v>218.79544487356941</v>
      </c>
    </row>
    <row r="55" spans="1:15" x14ac:dyDescent="0.2">
      <c r="A55" s="25" t="s">
        <v>64</v>
      </c>
      <c r="B55">
        <v>4.4000000000000004</v>
      </c>
      <c r="C55">
        <v>9420</v>
      </c>
      <c r="D55">
        <v>9423</v>
      </c>
      <c r="E55">
        <f t="shared" si="6"/>
        <v>-1564</v>
      </c>
      <c r="F55">
        <f t="shared" si="9"/>
        <v>-476.7072</v>
      </c>
      <c r="G55">
        <f t="shared" si="7"/>
        <v>396.60310973926403</v>
      </c>
      <c r="H55">
        <f t="shared" si="8"/>
        <v>404.98297482327598</v>
      </c>
      <c r="I55">
        <f t="shared" si="10"/>
        <v>0.9144000000000001</v>
      </c>
      <c r="J55">
        <f t="shared" si="11"/>
        <v>397.06030973926403</v>
      </c>
      <c r="K55">
        <f t="shared" si="12"/>
        <v>405.44017482327598</v>
      </c>
      <c r="L55">
        <f t="shared" si="16"/>
        <v>3.220351154464197</v>
      </c>
      <c r="M55">
        <f t="shared" si="13"/>
        <v>455.44017482327598</v>
      </c>
      <c r="N55">
        <f t="shared" si="14"/>
        <v>-15.261816044866578</v>
      </c>
      <c r="O55">
        <f t="shared" si="15"/>
        <v>218.04896747596462</v>
      </c>
    </row>
    <row r="56" spans="1:15" x14ac:dyDescent="0.2">
      <c r="A56" s="25" t="s">
        <v>65</v>
      </c>
      <c r="B56">
        <v>12.4</v>
      </c>
      <c r="C56">
        <v>9395</v>
      </c>
      <c r="D56">
        <v>9398</v>
      </c>
      <c r="E56">
        <f t="shared" si="6"/>
        <v>-1589</v>
      </c>
      <c r="F56">
        <f t="shared" si="9"/>
        <v>-484.3272</v>
      </c>
      <c r="G56">
        <f t="shared" si="7"/>
        <v>399.68951164366399</v>
      </c>
      <c r="H56">
        <f t="shared" si="8"/>
        <v>408.20332597774006</v>
      </c>
      <c r="I56">
        <f t="shared" si="10"/>
        <v>0.9144000000000001</v>
      </c>
      <c r="J56">
        <f t="shared" si="11"/>
        <v>400.14671164366399</v>
      </c>
      <c r="K56">
        <f t="shared" si="12"/>
        <v>408.66052597774006</v>
      </c>
      <c r="L56">
        <f t="shared" si="16"/>
        <v>3.2203511544640833</v>
      </c>
      <c r="M56">
        <f t="shared" si="13"/>
        <v>458.66052597774006</v>
      </c>
      <c r="N56">
        <f t="shared" si="14"/>
        <v>-22.188791378118822</v>
      </c>
      <c r="O56">
        <f t="shared" si="15"/>
        <v>217.30249007835982</v>
      </c>
    </row>
    <row r="57" spans="1:15" x14ac:dyDescent="0.2">
      <c r="A57" s="25" t="s">
        <v>66</v>
      </c>
      <c r="B57">
        <v>9.1</v>
      </c>
      <c r="C57">
        <v>9370</v>
      </c>
      <c r="D57">
        <v>9373</v>
      </c>
      <c r="E57">
        <f t="shared" si="6"/>
        <v>-1614</v>
      </c>
      <c r="F57">
        <f t="shared" si="9"/>
        <v>-491.94720000000001</v>
      </c>
      <c r="G57">
        <f t="shared" si="7"/>
        <v>402.77591354806401</v>
      </c>
      <c r="H57">
        <f t="shared" si="8"/>
        <v>411.42367713220426</v>
      </c>
      <c r="I57">
        <f t="shared" si="10"/>
        <v>0.9144000000000001</v>
      </c>
      <c r="J57">
        <f t="shared" si="11"/>
        <v>403.23311354806401</v>
      </c>
      <c r="K57">
        <f t="shared" si="12"/>
        <v>411.88087713220426</v>
      </c>
      <c r="L57">
        <f t="shared" si="16"/>
        <v>3.220351154464197</v>
      </c>
      <c r="M57">
        <f t="shared" si="13"/>
        <v>461.88087713220426</v>
      </c>
      <c r="N57">
        <f t="shared" si="14"/>
        <v>-29.115766711371293</v>
      </c>
      <c r="O57">
        <f t="shared" si="15"/>
        <v>216.55601268075503</v>
      </c>
    </row>
    <row r="58" spans="1:15" x14ac:dyDescent="0.2">
      <c r="A58" s="25" t="s">
        <v>67</v>
      </c>
      <c r="B58">
        <v>3.2</v>
      </c>
      <c r="C58">
        <v>9345</v>
      </c>
      <c r="D58">
        <v>9348</v>
      </c>
      <c r="E58">
        <f t="shared" si="6"/>
        <v>-1639</v>
      </c>
      <c r="F58">
        <f t="shared" si="9"/>
        <v>-499.56720000000001</v>
      </c>
      <c r="G58">
        <f t="shared" si="7"/>
        <v>405.86231545246403</v>
      </c>
      <c r="H58">
        <f t="shared" si="8"/>
        <v>414.64402828666834</v>
      </c>
      <c r="I58">
        <f t="shared" si="10"/>
        <v>0.9144000000000001</v>
      </c>
      <c r="J58">
        <f t="shared" si="11"/>
        <v>406.31951545246403</v>
      </c>
      <c r="K58">
        <f t="shared" si="12"/>
        <v>415.10122828666834</v>
      </c>
      <c r="L58">
        <f t="shared" si="16"/>
        <v>3.2203511544640833</v>
      </c>
      <c r="M58">
        <f t="shared" si="13"/>
        <v>465.10122828666834</v>
      </c>
      <c r="N58">
        <f t="shared" si="14"/>
        <v>-36.042742044623537</v>
      </c>
      <c r="O58">
        <f t="shared" si="15"/>
        <v>215.80953528315024</v>
      </c>
    </row>
    <row r="59" spans="1:15" x14ac:dyDescent="0.2">
      <c r="A59" s="25" t="s">
        <v>68</v>
      </c>
      <c r="B59">
        <v>4.7300000000000004</v>
      </c>
      <c r="C59">
        <v>9320</v>
      </c>
      <c r="D59">
        <v>9323</v>
      </c>
      <c r="E59">
        <f t="shared" si="6"/>
        <v>-1664</v>
      </c>
      <c r="F59">
        <f t="shared" si="9"/>
        <v>-507.18720000000002</v>
      </c>
      <c r="G59">
        <f t="shared" si="7"/>
        <v>408.94871735686399</v>
      </c>
      <c r="H59">
        <f t="shared" si="8"/>
        <v>417.86437944113248</v>
      </c>
      <c r="I59">
        <f t="shared" si="10"/>
        <v>0.9144000000000001</v>
      </c>
      <c r="J59">
        <f t="shared" si="11"/>
        <v>409.40591735686399</v>
      </c>
      <c r="K59">
        <f t="shared" si="12"/>
        <v>418.32157944113249</v>
      </c>
      <c r="L59">
        <f t="shared" si="16"/>
        <v>3.2203511544641401</v>
      </c>
      <c r="M59">
        <f t="shared" si="13"/>
        <v>468.32157944113249</v>
      </c>
      <c r="N59">
        <f t="shared" si="14"/>
        <v>-42.969717377875895</v>
      </c>
      <c r="O59">
        <f t="shared" si="15"/>
        <v>215.06305788554545</v>
      </c>
    </row>
    <row r="60" spans="1:15" x14ac:dyDescent="0.2">
      <c r="A60" s="25" t="s">
        <v>69</v>
      </c>
      <c r="B60">
        <v>9.24</v>
      </c>
      <c r="C60">
        <v>9270</v>
      </c>
      <c r="D60">
        <v>9276</v>
      </c>
      <c r="E60">
        <f t="shared" si="6"/>
        <v>-1711</v>
      </c>
      <c r="F60">
        <f t="shared" si="9"/>
        <v>-521.51279999999997</v>
      </c>
      <c r="G60">
        <f t="shared" si="7"/>
        <v>414.751152937136</v>
      </c>
      <c r="H60">
        <f t="shared" si="8"/>
        <v>423.91863961152501</v>
      </c>
      <c r="I60">
        <f t="shared" si="10"/>
        <v>1.8288000000000002</v>
      </c>
      <c r="J60">
        <f t="shared" si="11"/>
        <v>415.665552937136</v>
      </c>
      <c r="K60">
        <f t="shared" si="12"/>
        <v>424.83303961152501</v>
      </c>
      <c r="L60">
        <f t="shared" si="16"/>
        <v>6.5114601703925246</v>
      </c>
      <c r="M60">
        <f t="shared" si="13"/>
        <v>474.83303961152501</v>
      </c>
      <c r="N60">
        <f t="shared" si="14"/>
        <v>-56.975868204390167</v>
      </c>
      <c r="O60">
        <f t="shared" si="15"/>
        <v>213.55370141804849</v>
      </c>
    </row>
    <row r="61" spans="1:15" x14ac:dyDescent="0.2">
      <c r="B61">
        <f>SUM(B34:B60)</f>
        <v>98.169999999999987</v>
      </c>
    </row>
    <row r="64" spans="1:15" x14ac:dyDescent="0.2">
      <c r="A64" t="s">
        <v>101</v>
      </c>
    </row>
    <row r="65" spans="1:16" x14ac:dyDescent="0.2">
      <c r="A65" s="16" t="s">
        <v>70</v>
      </c>
      <c r="B65" s="17"/>
      <c r="C65" s="17"/>
      <c r="D65" s="17"/>
      <c r="E65" s="18"/>
      <c r="I65" s="16" t="s">
        <v>103</v>
      </c>
      <c r="J65" s="17"/>
      <c r="K65" s="17"/>
      <c r="L65" s="17"/>
      <c r="M65" s="17"/>
      <c r="N65" s="17"/>
      <c r="O65" s="17"/>
      <c r="P65" s="18"/>
    </row>
    <row r="66" spans="1:16" x14ac:dyDescent="0.2">
      <c r="A66" s="19"/>
      <c r="E66" s="20"/>
      <c r="I66" s="19"/>
      <c r="P66" s="20"/>
    </row>
    <row r="67" spans="1:16" x14ac:dyDescent="0.2">
      <c r="A67" s="19" t="s">
        <v>52</v>
      </c>
      <c r="B67" s="25" t="s">
        <v>4</v>
      </c>
      <c r="C67" t="s">
        <v>59</v>
      </c>
      <c r="D67" t="s">
        <v>60</v>
      </c>
      <c r="E67" s="20" t="s">
        <v>61</v>
      </c>
      <c r="F67" t="s">
        <v>71</v>
      </c>
      <c r="G67" t="s">
        <v>57</v>
      </c>
      <c r="H67" t="s">
        <v>72</v>
      </c>
      <c r="I67" s="19" t="s">
        <v>73</v>
      </c>
      <c r="J67" t="s">
        <v>62</v>
      </c>
      <c r="K67" s="25" t="s">
        <v>4</v>
      </c>
      <c r="L67" t="s">
        <v>74</v>
      </c>
      <c r="P67" s="20"/>
    </row>
    <row r="68" spans="1:16" x14ac:dyDescent="0.2">
      <c r="A68" s="19">
        <f>33.92*0.5*0.5</f>
        <v>8.48</v>
      </c>
      <c r="B68" s="25">
        <v>1</v>
      </c>
      <c r="C68">
        <v>60.96</v>
      </c>
      <c r="D68">
        <v>233.99780659999999</v>
      </c>
      <c r="E68" s="20">
        <v>233.99780659999999</v>
      </c>
      <c r="F68">
        <v>1</v>
      </c>
      <c r="G68">
        <v>224.10357772610001</v>
      </c>
      <c r="H68" t="s">
        <v>75</v>
      </c>
      <c r="I68" s="19">
        <v>0</v>
      </c>
      <c r="J68">
        <v>0</v>
      </c>
      <c r="K68" s="25">
        <v>1</v>
      </c>
      <c r="P68" s="20"/>
    </row>
    <row r="69" spans="1:16" x14ac:dyDescent="0.2">
      <c r="A69" s="19">
        <f>33.92*0.1*0.5</f>
        <v>1.6960000000000002</v>
      </c>
      <c r="B69" s="25">
        <v>2</v>
      </c>
      <c r="C69">
        <v>0</v>
      </c>
      <c r="D69">
        <v>254.99899036539199</v>
      </c>
      <c r="E69" s="20">
        <v>257.23094276</v>
      </c>
      <c r="F69">
        <v>2</v>
      </c>
      <c r="G69">
        <v>254.72075842629999</v>
      </c>
      <c r="H69" t="s">
        <v>76</v>
      </c>
      <c r="I69" s="19">
        <f>G69-G68</f>
        <v>30.617180700199981</v>
      </c>
      <c r="J69">
        <v>23.2354572564617</v>
      </c>
      <c r="K69" s="25">
        <v>2</v>
      </c>
      <c r="P69" s="20"/>
    </row>
    <row r="70" spans="1:16" x14ac:dyDescent="0.2">
      <c r="A70" s="19">
        <f>33.92*0.4*0.5</f>
        <v>6.7840000000000007</v>
      </c>
      <c r="B70" s="25" t="s">
        <v>77</v>
      </c>
      <c r="C70">
        <v>0</v>
      </c>
      <c r="D70">
        <v>309.319663882832</v>
      </c>
      <c r="E70" s="20">
        <v>313.90667395999998</v>
      </c>
      <c r="F70">
        <v>3</v>
      </c>
      <c r="G70">
        <v>310.80596957040001</v>
      </c>
      <c r="H70" t="s">
        <v>78</v>
      </c>
      <c r="I70" s="19">
        <f>G70-G69</f>
        <v>56.085211144100015</v>
      </c>
      <c r="J70">
        <v>56.678180318568707</v>
      </c>
      <c r="K70" s="25">
        <v>3</v>
      </c>
      <c r="P70" s="20"/>
    </row>
    <row r="71" spans="1:16" x14ac:dyDescent="0.2">
      <c r="A71" s="19"/>
      <c r="E71" s="20"/>
      <c r="F71">
        <v>4</v>
      </c>
      <c r="G71">
        <v>318.21350349490001</v>
      </c>
      <c r="H71" t="s">
        <v>79</v>
      </c>
      <c r="I71" s="19">
        <f>G71-G70</f>
        <v>7.4075339245000009</v>
      </c>
      <c r="J71">
        <v>7.4712146783567732</v>
      </c>
      <c r="K71" s="25">
        <v>4</v>
      </c>
      <c r="L71" t="s">
        <v>80</v>
      </c>
      <c r="P71" s="20"/>
    </row>
    <row r="72" spans="1:16" x14ac:dyDescent="0.2">
      <c r="A72" s="19">
        <f>33.92*0.5*0.5</f>
        <v>8.48</v>
      </c>
      <c r="B72" s="25">
        <v>4</v>
      </c>
      <c r="C72">
        <v>0</v>
      </c>
      <c r="D72">
        <v>316.48011630103997</v>
      </c>
      <c r="E72" s="20">
        <v>321.37756579999996</v>
      </c>
      <c r="F72">
        <v>5</v>
      </c>
      <c r="G72">
        <v>332.35042737229998</v>
      </c>
      <c r="H72" t="s">
        <v>81</v>
      </c>
      <c r="I72" s="19">
        <f>G72-G71</f>
        <v>14.136923877399965</v>
      </c>
      <c r="J72">
        <v>6.4407023089282234</v>
      </c>
      <c r="K72" s="25">
        <v>5</v>
      </c>
      <c r="L72" t="s">
        <v>82</v>
      </c>
      <c r="P72" s="20"/>
    </row>
    <row r="73" spans="1:16" x14ac:dyDescent="0.2">
      <c r="A73" s="19"/>
      <c r="E73" s="20"/>
      <c r="F73">
        <v>6</v>
      </c>
      <c r="G73">
        <v>346.83700329660002</v>
      </c>
      <c r="H73" t="s">
        <v>83</v>
      </c>
      <c r="I73" s="19"/>
      <c r="P73" s="20"/>
    </row>
    <row r="74" spans="1:16" x14ac:dyDescent="0.2">
      <c r="A74" s="19">
        <f>33.92*0.5*0.5</f>
        <v>8.48</v>
      </c>
      <c r="B74" s="25">
        <v>5</v>
      </c>
      <c r="C74">
        <v>0</v>
      </c>
      <c r="D74">
        <v>322.65292010984001</v>
      </c>
      <c r="E74" s="20">
        <v>327.81798979999996</v>
      </c>
      <c r="F74">
        <v>7</v>
      </c>
      <c r="G74">
        <v>359.0793238631</v>
      </c>
      <c r="H74" t="s">
        <v>84</v>
      </c>
      <c r="I74" s="19"/>
      <c r="P74" s="20"/>
    </row>
    <row r="75" spans="1:16" x14ac:dyDescent="0.2">
      <c r="A75" s="19"/>
      <c r="E75" s="20"/>
      <c r="F75">
        <v>8</v>
      </c>
      <c r="G75">
        <v>362.21762250350002</v>
      </c>
      <c r="H75" t="s">
        <v>85</v>
      </c>
      <c r="I75" s="19"/>
      <c r="P75" s="20"/>
    </row>
    <row r="76" spans="1:16" x14ac:dyDescent="0.2">
      <c r="A76" s="19"/>
      <c r="E76" s="20"/>
      <c r="F76">
        <v>9</v>
      </c>
      <c r="G76">
        <v>375.65593560119999</v>
      </c>
      <c r="H76" t="s">
        <v>86</v>
      </c>
      <c r="I76" s="19"/>
      <c r="P76" s="20"/>
    </row>
    <row r="77" spans="1:16" x14ac:dyDescent="0.2">
      <c r="A77" s="19">
        <v>16.239999999999998</v>
      </c>
      <c r="B77" s="25">
        <v>8</v>
      </c>
      <c r="C77">
        <v>54.223919999999893</v>
      </c>
      <c r="D77">
        <v>386.67824688646397</v>
      </c>
      <c r="E77" s="20">
        <v>393.44368531999999</v>
      </c>
      <c r="F77">
        <v>10</v>
      </c>
      <c r="G77">
        <v>394.67868927320001</v>
      </c>
      <c r="H77" t="s">
        <v>87</v>
      </c>
      <c r="I77" s="19">
        <f>G77-G72</f>
        <v>62.328261900900031</v>
      </c>
      <c r="J77">
        <v>65.627359807390974</v>
      </c>
      <c r="K77" s="25">
        <v>8</v>
      </c>
      <c r="P77" s="20"/>
    </row>
    <row r="78" spans="1:16" x14ac:dyDescent="0.2">
      <c r="A78" s="19">
        <v>4.9400000000000004</v>
      </c>
      <c r="B78" s="25" t="s">
        <v>63</v>
      </c>
      <c r="C78">
        <v>5.6388000000000007</v>
      </c>
      <c r="D78">
        <v>392.37316778961434</v>
      </c>
      <c r="E78" s="20">
        <v>400.43870511199992</v>
      </c>
      <c r="F78">
        <v>11</v>
      </c>
      <c r="G78">
        <v>400.87151481759997</v>
      </c>
      <c r="H78" t="s">
        <v>88</v>
      </c>
      <c r="I78" s="19">
        <f>G78-G77</f>
        <v>6.192825544399966</v>
      </c>
      <c r="J78">
        <v>6.9963718167734896</v>
      </c>
      <c r="K78" s="25" t="s">
        <v>63</v>
      </c>
      <c r="P78" s="20"/>
    </row>
    <row r="79" spans="1:16" x14ac:dyDescent="0.2">
      <c r="A79" s="19">
        <v>4.4000000000000004</v>
      </c>
      <c r="B79" s="25" t="s">
        <v>64</v>
      </c>
      <c r="C79">
        <v>5.2120800000001113</v>
      </c>
      <c r="D79">
        <v>398.34495720603206</v>
      </c>
      <c r="E79" s="20">
        <v>406.67864996000009</v>
      </c>
      <c r="F79">
        <v>12</v>
      </c>
      <c r="G79">
        <v>404.08412988060002</v>
      </c>
      <c r="H79" t="s">
        <v>89</v>
      </c>
      <c r="I79" s="19">
        <f t="shared" ref="I79:I84" si="17">G79-G78</f>
        <v>3.2126150630000438</v>
      </c>
      <c r="J79">
        <v>6.240223713546186</v>
      </c>
      <c r="K79" s="25" t="s">
        <v>64</v>
      </c>
      <c r="P79" s="20"/>
    </row>
    <row r="80" spans="1:16" x14ac:dyDescent="0.2">
      <c r="A80" s="19">
        <v>12.4</v>
      </c>
      <c r="B80" s="25" t="s">
        <v>65</v>
      </c>
      <c r="C80">
        <v>5.8521600000002216</v>
      </c>
      <c r="D80">
        <v>401.67732546472649</v>
      </c>
      <c r="E80" s="20">
        <v>410.1416168720001</v>
      </c>
      <c r="F80">
        <v>13</v>
      </c>
      <c r="G80">
        <v>407.24617137220002</v>
      </c>
      <c r="H80" t="s">
        <v>90</v>
      </c>
      <c r="I80" s="19">
        <f t="shared" si="17"/>
        <v>3.1620414916000072</v>
      </c>
      <c r="J80">
        <v>3.4631027267570289</v>
      </c>
      <c r="K80" s="25" t="s">
        <v>65</v>
      </c>
      <c r="P80" s="20"/>
    </row>
    <row r="81" spans="1:16" x14ac:dyDescent="0.2">
      <c r="A81" s="19">
        <v>9.1</v>
      </c>
      <c r="B81" s="25" t="s">
        <v>66</v>
      </c>
      <c r="C81">
        <v>5.6997599999996673</v>
      </c>
      <c r="D81">
        <v>404.72456419197914</v>
      </c>
      <c r="E81" s="20">
        <v>413.32427141599993</v>
      </c>
      <c r="F81">
        <v>14</v>
      </c>
      <c r="G81">
        <v>410.35153120289999</v>
      </c>
      <c r="H81" t="s">
        <v>91</v>
      </c>
      <c r="I81" s="19">
        <f t="shared" si="17"/>
        <v>3.1053598306999675</v>
      </c>
      <c r="J81">
        <v>3.1827953683175565</v>
      </c>
      <c r="K81" s="25" t="s">
        <v>66</v>
      </c>
      <c r="P81" s="20"/>
    </row>
    <row r="82" spans="1:16" x14ac:dyDescent="0.2">
      <c r="A82" s="19">
        <v>3.2</v>
      </c>
      <c r="B82" s="25" t="s">
        <v>67</v>
      </c>
      <c r="C82">
        <v>5.8216800000001108</v>
      </c>
      <c r="D82">
        <v>407.7978524506737</v>
      </c>
      <c r="E82" s="20">
        <v>416.52815832800007</v>
      </c>
      <c r="F82">
        <v>15</v>
      </c>
      <c r="G82">
        <v>413.11875291749999</v>
      </c>
      <c r="H82" t="s">
        <v>92</v>
      </c>
      <c r="I82" s="19">
        <f t="shared" si="17"/>
        <v>2.767221714599998</v>
      </c>
      <c r="J82">
        <v>3.2040227267572163</v>
      </c>
      <c r="K82" s="25" t="s">
        <v>67</v>
      </c>
      <c r="P82" s="20"/>
    </row>
    <row r="83" spans="1:16" x14ac:dyDescent="0.2">
      <c r="A83" s="19">
        <v>4.7300000000000004</v>
      </c>
      <c r="B83" s="25" t="s">
        <v>68</v>
      </c>
      <c r="C83">
        <v>2.7432000000000003</v>
      </c>
      <c r="D83">
        <v>409.57958089980804</v>
      </c>
      <c r="E83" s="20">
        <v>418.45386644000001</v>
      </c>
      <c r="F83">
        <v>16</v>
      </c>
      <c r="G83">
        <v>418.66810282900002</v>
      </c>
      <c r="H83" t="s">
        <v>93</v>
      </c>
      <c r="I83" s="19">
        <f t="shared" si="17"/>
        <v>5.5493499115000304</v>
      </c>
      <c r="J83">
        <v>1.9258578422032429</v>
      </c>
      <c r="K83" s="25" t="s">
        <v>68</v>
      </c>
      <c r="P83" s="20"/>
    </row>
    <row r="84" spans="1:16" x14ac:dyDescent="0.2">
      <c r="A84" s="21">
        <v>9.24</v>
      </c>
      <c r="B84" s="22" t="s">
        <v>69</v>
      </c>
      <c r="C84" s="23">
        <v>1.8288000000000002</v>
      </c>
      <c r="D84" s="23">
        <v>415.665552937136</v>
      </c>
      <c r="E84" s="24">
        <v>424.82351587999995</v>
      </c>
      <c r="F84">
        <v>17</v>
      </c>
      <c r="G84">
        <v>437.57787526689998</v>
      </c>
      <c r="H84" t="s">
        <v>94</v>
      </c>
      <c r="I84" s="21">
        <f t="shared" si="17"/>
        <v>18.90977243789996</v>
      </c>
      <c r="J84" s="23">
        <v>6.3699444474639222</v>
      </c>
      <c r="K84" s="22" t="s">
        <v>69</v>
      </c>
      <c r="L84" s="23" t="s">
        <v>104</v>
      </c>
      <c r="M84" s="23"/>
      <c r="N84" s="23"/>
      <c r="O84" s="23"/>
      <c r="P84" s="24"/>
    </row>
    <row r="86" spans="1:16" x14ac:dyDescent="0.2">
      <c r="G86" t="s">
        <v>95</v>
      </c>
    </row>
    <row r="90" spans="1:16" x14ac:dyDescent="0.2">
      <c r="A90" t="s">
        <v>102</v>
      </c>
    </row>
    <row r="92" spans="1:16" x14ac:dyDescent="0.2">
      <c r="F92" t="s">
        <v>71</v>
      </c>
      <c r="G92" t="s">
        <v>57</v>
      </c>
      <c r="H92" t="s">
        <v>72</v>
      </c>
    </row>
    <row r="93" spans="1:16" x14ac:dyDescent="0.2">
      <c r="F93">
        <v>1</v>
      </c>
      <c r="G93">
        <v>532.16798293869999</v>
      </c>
      <c r="H93" t="s">
        <v>75</v>
      </c>
    </row>
    <row r="94" spans="1:16" x14ac:dyDescent="0.2">
      <c r="F94">
        <v>2</v>
      </c>
      <c r="G94">
        <v>504.08412988060002</v>
      </c>
      <c r="H94" t="s">
        <v>76</v>
      </c>
    </row>
    <row r="95" spans="1:16" x14ac:dyDescent="0.2">
      <c r="F95">
        <v>3</v>
      </c>
      <c r="G95">
        <v>496.55282000689999</v>
      </c>
      <c r="H95" t="s">
        <v>78</v>
      </c>
    </row>
    <row r="96" spans="1:16" x14ac:dyDescent="0.2">
      <c r="F96">
        <v>4</v>
      </c>
      <c r="G96">
        <v>495.2773550563</v>
      </c>
      <c r="H96" t="s">
        <v>79</v>
      </c>
    </row>
    <row r="97" spans="6:8" x14ac:dyDescent="0.2">
      <c r="F97">
        <v>5</v>
      </c>
      <c r="G97">
        <v>473.62378614049999</v>
      </c>
      <c r="H97" t="s">
        <v>81</v>
      </c>
    </row>
    <row r="98" spans="6:8" x14ac:dyDescent="0.2">
      <c r="F98">
        <v>6</v>
      </c>
      <c r="G98">
        <v>449.64739632120001</v>
      </c>
      <c r="H98" t="s">
        <v>83</v>
      </c>
    </row>
    <row r="99" spans="6:8" x14ac:dyDescent="0.2">
      <c r="F99">
        <v>7</v>
      </c>
      <c r="G99">
        <v>418.91455640279997</v>
      </c>
      <c r="H99" t="s">
        <v>84</v>
      </c>
    </row>
    <row r="100" spans="6:8" x14ac:dyDescent="0.2">
      <c r="F100">
        <v>8</v>
      </c>
      <c r="G100">
        <v>410.80596957040001</v>
      </c>
      <c r="H100" t="s">
        <v>85</v>
      </c>
    </row>
    <row r="101" spans="6:8" x14ac:dyDescent="0.2">
      <c r="F101">
        <v>9</v>
      </c>
      <c r="G101">
        <v>333.4352911748</v>
      </c>
      <c r="H101" t="s">
        <v>86</v>
      </c>
    </row>
    <row r="102" spans="6:8" x14ac:dyDescent="0.2">
      <c r="F102">
        <v>10</v>
      </c>
      <c r="G102">
        <v>324.10357772610001</v>
      </c>
      <c r="H102" t="s">
        <v>87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5633C-ADB4-FA49-849D-08D0B7BFE1AE}">
  <dimension ref="A1:N28"/>
  <sheetViews>
    <sheetView tabSelected="1" workbookViewId="0">
      <selection activeCell="I35" sqref="I35"/>
    </sheetView>
  </sheetViews>
  <sheetFormatPr baseColWidth="10" defaultRowHeight="16" x14ac:dyDescent="0.2"/>
  <sheetData>
    <row r="1" spans="1:14" x14ac:dyDescent="0.2">
      <c r="A1" s="26" t="s">
        <v>122</v>
      </c>
      <c r="B1" s="26" t="s">
        <v>123</v>
      </c>
      <c r="C1" s="26" t="s">
        <v>124</v>
      </c>
      <c r="D1" s="26" t="s">
        <v>125</v>
      </c>
      <c r="E1" s="26" t="s">
        <v>126</v>
      </c>
      <c r="F1" s="26" t="s">
        <v>127</v>
      </c>
      <c r="G1" s="26" t="s">
        <v>128</v>
      </c>
      <c r="H1" s="26" t="s">
        <v>129</v>
      </c>
      <c r="I1" s="26" t="s">
        <v>130</v>
      </c>
      <c r="J1" s="26" t="s">
        <v>131</v>
      </c>
      <c r="K1" s="26" t="s">
        <v>132</v>
      </c>
      <c r="L1" s="26" t="s">
        <v>133</v>
      </c>
      <c r="M1" s="26" t="s">
        <v>134</v>
      </c>
      <c r="N1" s="26" t="s">
        <v>135</v>
      </c>
    </row>
    <row r="2" spans="1:14" x14ac:dyDescent="0.2">
      <c r="A2">
        <v>353.510718</v>
      </c>
      <c r="B2">
        <v>257.78930839999998</v>
      </c>
      <c r="C2">
        <v>283.99780659999999</v>
      </c>
      <c r="D2">
        <v>150</v>
      </c>
      <c r="E2">
        <v>70685.834709999996</v>
      </c>
      <c r="F2">
        <v>85</v>
      </c>
      <c r="G2">
        <v>90</v>
      </c>
      <c r="H2">
        <v>175</v>
      </c>
      <c r="I2">
        <v>90</v>
      </c>
      <c r="J2" s="26">
        <v>1</v>
      </c>
      <c r="K2" s="26">
        <v>1</v>
      </c>
      <c r="L2" s="26">
        <v>1</v>
      </c>
      <c r="M2" s="26">
        <v>1</v>
      </c>
      <c r="N2" s="26">
        <v>5</v>
      </c>
    </row>
    <row r="3" spans="1:14" x14ac:dyDescent="0.2">
      <c r="A3">
        <v>303.53124939999998</v>
      </c>
      <c r="B3">
        <v>252.40332939999999</v>
      </c>
      <c r="C3">
        <v>307.2332639</v>
      </c>
      <c r="D3">
        <v>150</v>
      </c>
      <c r="E3">
        <v>70685.834709999996</v>
      </c>
      <c r="F3">
        <v>85</v>
      </c>
      <c r="G3">
        <v>90</v>
      </c>
      <c r="H3">
        <v>175</v>
      </c>
      <c r="I3">
        <v>90</v>
      </c>
      <c r="J3" s="26">
        <v>1</v>
      </c>
      <c r="K3" s="26">
        <v>1</v>
      </c>
      <c r="L3" s="26">
        <v>1</v>
      </c>
      <c r="M3" s="26">
        <v>2</v>
      </c>
      <c r="N3" s="26">
        <v>5</v>
      </c>
    </row>
    <row r="4" spans="1:14" x14ac:dyDescent="0.2">
      <c r="A4">
        <v>181.61648360000001</v>
      </c>
      <c r="B4">
        <v>239.2653272</v>
      </c>
      <c r="C4">
        <v>363.91144420000001</v>
      </c>
      <c r="D4">
        <v>150</v>
      </c>
      <c r="E4">
        <v>70685.834709999996</v>
      </c>
      <c r="F4">
        <v>85</v>
      </c>
      <c r="G4">
        <v>90</v>
      </c>
      <c r="H4">
        <v>175</v>
      </c>
      <c r="I4">
        <v>90</v>
      </c>
      <c r="J4" s="26">
        <v>1</v>
      </c>
      <c r="K4" s="26">
        <v>1</v>
      </c>
      <c r="L4" s="26">
        <v>1</v>
      </c>
      <c r="M4" s="26">
        <v>3</v>
      </c>
      <c r="N4" s="26">
        <v>5</v>
      </c>
    </row>
    <row r="5" spans="1:14" x14ac:dyDescent="0.2">
      <c r="A5">
        <v>165.5459008</v>
      </c>
      <c r="B5">
        <v>237.53349969999999</v>
      </c>
      <c r="C5">
        <v>371.38265890000002</v>
      </c>
      <c r="D5">
        <v>150</v>
      </c>
      <c r="E5">
        <v>70685.834709999996</v>
      </c>
      <c r="F5">
        <v>85</v>
      </c>
      <c r="G5">
        <v>90</v>
      </c>
      <c r="H5">
        <v>175</v>
      </c>
      <c r="I5">
        <v>90</v>
      </c>
      <c r="J5" s="26">
        <v>1</v>
      </c>
      <c r="K5" s="26">
        <v>1</v>
      </c>
      <c r="L5" s="26">
        <v>1</v>
      </c>
      <c r="M5" s="26">
        <v>4</v>
      </c>
      <c r="N5" s="26">
        <v>5</v>
      </c>
    </row>
    <row r="6" spans="1:14" x14ac:dyDescent="0.2">
      <c r="A6">
        <v>151.69195010000001</v>
      </c>
      <c r="B6">
        <v>236.04054489999999</v>
      </c>
      <c r="C6">
        <v>377.82336120000002</v>
      </c>
      <c r="D6">
        <v>150</v>
      </c>
      <c r="E6">
        <v>70685.834709999996</v>
      </c>
      <c r="F6">
        <v>85</v>
      </c>
      <c r="G6">
        <v>90</v>
      </c>
      <c r="H6">
        <v>175</v>
      </c>
      <c r="I6">
        <v>90</v>
      </c>
      <c r="J6" s="26">
        <v>1</v>
      </c>
      <c r="K6" s="26">
        <v>1</v>
      </c>
      <c r="L6" s="26">
        <v>1</v>
      </c>
      <c r="M6" s="26">
        <v>5</v>
      </c>
      <c r="N6" s="26">
        <v>5</v>
      </c>
    </row>
    <row r="7" spans="1:14" x14ac:dyDescent="0.2">
      <c r="A7">
        <v>136.9794411</v>
      </c>
      <c r="B7">
        <v>234.4550686</v>
      </c>
      <c r="C7">
        <v>384.66320730000001</v>
      </c>
      <c r="D7">
        <v>150</v>
      </c>
      <c r="E7">
        <v>70685.834709999996</v>
      </c>
      <c r="F7">
        <v>85</v>
      </c>
      <c r="G7">
        <v>90</v>
      </c>
      <c r="H7">
        <v>175</v>
      </c>
      <c r="I7">
        <v>90</v>
      </c>
      <c r="J7" s="26">
        <v>1</v>
      </c>
      <c r="K7" s="26">
        <v>1</v>
      </c>
      <c r="L7" s="26">
        <v>1</v>
      </c>
      <c r="M7" s="26">
        <v>6</v>
      </c>
      <c r="N7" s="26">
        <v>5</v>
      </c>
    </row>
    <row r="8" spans="1:14" x14ac:dyDescent="0.2">
      <c r="A8">
        <v>134.0837721</v>
      </c>
      <c r="B8">
        <v>234.1430202</v>
      </c>
      <c r="C8">
        <v>386.0094039</v>
      </c>
      <c r="D8">
        <v>150</v>
      </c>
      <c r="E8">
        <v>70685.834709999996</v>
      </c>
      <c r="F8">
        <v>85</v>
      </c>
      <c r="G8">
        <v>90</v>
      </c>
      <c r="H8">
        <v>175</v>
      </c>
      <c r="I8">
        <v>90</v>
      </c>
      <c r="J8" s="26">
        <v>1</v>
      </c>
      <c r="K8" s="26">
        <v>1</v>
      </c>
      <c r="L8" s="26">
        <v>1</v>
      </c>
      <c r="M8" s="26">
        <v>7</v>
      </c>
      <c r="N8" s="26">
        <v>5</v>
      </c>
    </row>
    <row r="9" spans="1:14" x14ac:dyDescent="0.2">
      <c r="A9">
        <v>118.3175897</v>
      </c>
      <c r="B9">
        <v>232.443996</v>
      </c>
      <c r="C9">
        <v>393.3391029</v>
      </c>
      <c r="D9">
        <v>150</v>
      </c>
      <c r="E9">
        <v>70685.834709999996</v>
      </c>
      <c r="F9">
        <v>85</v>
      </c>
      <c r="G9">
        <v>90</v>
      </c>
      <c r="H9">
        <v>175</v>
      </c>
      <c r="I9">
        <v>90</v>
      </c>
      <c r="J9" s="26">
        <v>1</v>
      </c>
      <c r="K9" s="26">
        <v>1</v>
      </c>
      <c r="L9" s="26">
        <v>1</v>
      </c>
      <c r="M9" s="26">
        <v>8</v>
      </c>
      <c r="N9" s="26">
        <v>5</v>
      </c>
    </row>
    <row r="10" spans="1:14" x14ac:dyDescent="0.2">
      <c r="A10">
        <v>105.017797</v>
      </c>
      <c r="B10">
        <v>231.01075929999999</v>
      </c>
      <c r="C10">
        <v>399.52217710000002</v>
      </c>
      <c r="D10">
        <v>150</v>
      </c>
      <c r="E10">
        <v>70685.834709999996</v>
      </c>
      <c r="F10">
        <v>85</v>
      </c>
      <c r="G10">
        <v>90</v>
      </c>
      <c r="H10">
        <v>175</v>
      </c>
      <c r="I10">
        <v>90</v>
      </c>
      <c r="J10" s="26">
        <v>1</v>
      </c>
      <c r="K10" s="26">
        <v>1</v>
      </c>
      <c r="L10" s="26">
        <v>1</v>
      </c>
      <c r="M10" s="26">
        <v>9</v>
      </c>
      <c r="N10" s="26">
        <v>5</v>
      </c>
    </row>
    <row r="11" spans="1:14" x14ac:dyDescent="0.2">
      <c r="A11">
        <v>90.609688349999999</v>
      </c>
      <c r="B11">
        <v>229.45808640000001</v>
      </c>
      <c r="C11">
        <v>406.2205075</v>
      </c>
      <c r="D11">
        <v>150</v>
      </c>
      <c r="E11">
        <v>70685.834709999996</v>
      </c>
      <c r="F11">
        <v>85</v>
      </c>
      <c r="G11">
        <v>90</v>
      </c>
      <c r="H11">
        <v>175</v>
      </c>
      <c r="I11">
        <v>90</v>
      </c>
      <c r="J11" s="26">
        <v>1</v>
      </c>
      <c r="K11" s="26">
        <v>1</v>
      </c>
      <c r="L11" s="26">
        <v>1</v>
      </c>
      <c r="M11" s="26">
        <v>10</v>
      </c>
      <c r="N11" s="26">
        <v>5</v>
      </c>
    </row>
    <row r="12" spans="1:14" x14ac:dyDescent="0.2">
      <c r="A12">
        <v>67.861887949999996</v>
      </c>
      <c r="B12">
        <v>227.00669619999999</v>
      </c>
      <c r="C12">
        <v>416.79596099999998</v>
      </c>
      <c r="D12">
        <v>150</v>
      </c>
      <c r="E12">
        <v>70685.834709999996</v>
      </c>
      <c r="F12">
        <v>85</v>
      </c>
      <c r="G12">
        <v>90</v>
      </c>
      <c r="H12">
        <v>175</v>
      </c>
      <c r="I12">
        <v>90</v>
      </c>
      <c r="J12" s="26">
        <v>1</v>
      </c>
      <c r="K12" s="26">
        <v>1</v>
      </c>
      <c r="L12" s="26">
        <v>1</v>
      </c>
      <c r="M12" s="26">
        <v>11</v>
      </c>
      <c r="N12" s="26">
        <v>5</v>
      </c>
    </row>
    <row r="13" spans="1:14" x14ac:dyDescent="0.2">
      <c r="A13">
        <v>60.934912619999999</v>
      </c>
      <c r="B13">
        <v>226.26021879999999</v>
      </c>
      <c r="C13">
        <v>420.01631209999999</v>
      </c>
      <c r="D13">
        <v>150</v>
      </c>
      <c r="E13">
        <v>70685.834709999996</v>
      </c>
      <c r="F13">
        <v>85</v>
      </c>
      <c r="G13">
        <v>90</v>
      </c>
      <c r="H13">
        <v>175</v>
      </c>
      <c r="I13">
        <v>90</v>
      </c>
      <c r="J13" s="26">
        <v>1</v>
      </c>
      <c r="K13" s="26">
        <v>1</v>
      </c>
      <c r="L13" s="26">
        <v>1</v>
      </c>
      <c r="M13" s="26">
        <v>12</v>
      </c>
      <c r="N13" s="26">
        <v>5</v>
      </c>
    </row>
    <row r="14" spans="1:14" x14ac:dyDescent="0.2">
      <c r="A14">
        <v>54.007937290000001</v>
      </c>
      <c r="B14">
        <v>225.51374150000001</v>
      </c>
      <c r="C14">
        <v>423.23666329999998</v>
      </c>
      <c r="D14">
        <v>150</v>
      </c>
      <c r="E14">
        <v>70685.834709999996</v>
      </c>
      <c r="F14">
        <v>85</v>
      </c>
      <c r="G14">
        <v>90</v>
      </c>
      <c r="H14">
        <v>175</v>
      </c>
      <c r="I14">
        <v>90</v>
      </c>
      <c r="J14" s="26">
        <v>1</v>
      </c>
      <c r="K14" s="26">
        <v>1</v>
      </c>
      <c r="L14" s="26">
        <v>1</v>
      </c>
      <c r="M14" s="26">
        <v>13</v>
      </c>
      <c r="N14" s="26">
        <v>5</v>
      </c>
    </row>
    <row r="15" spans="1:14" x14ac:dyDescent="0.2">
      <c r="A15">
        <v>47.080961950000003</v>
      </c>
      <c r="B15">
        <v>224.76726410000001</v>
      </c>
      <c r="C15">
        <v>426.45701439999999</v>
      </c>
      <c r="D15">
        <v>150</v>
      </c>
      <c r="E15">
        <v>70685.834709999996</v>
      </c>
      <c r="F15">
        <v>85</v>
      </c>
      <c r="G15">
        <v>90</v>
      </c>
      <c r="H15">
        <v>175</v>
      </c>
      <c r="I15">
        <v>90</v>
      </c>
      <c r="J15" s="26">
        <v>1</v>
      </c>
      <c r="K15" s="26">
        <v>1</v>
      </c>
      <c r="L15" s="26">
        <v>1</v>
      </c>
      <c r="M15" s="26">
        <v>14</v>
      </c>
      <c r="N15" s="26">
        <v>5</v>
      </c>
    </row>
    <row r="16" spans="1:14" x14ac:dyDescent="0.2">
      <c r="A16">
        <v>40.153986619999998</v>
      </c>
      <c r="B16">
        <v>224.0207867</v>
      </c>
      <c r="C16">
        <v>429.67736559999997</v>
      </c>
      <c r="D16">
        <v>150</v>
      </c>
      <c r="E16">
        <v>70685.834709999996</v>
      </c>
      <c r="F16">
        <v>85</v>
      </c>
      <c r="G16">
        <v>90</v>
      </c>
      <c r="H16">
        <v>175</v>
      </c>
      <c r="I16">
        <v>90</v>
      </c>
      <c r="J16" s="26">
        <v>1</v>
      </c>
      <c r="K16" s="26">
        <v>1</v>
      </c>
      <c r="L16" s="26">
        <v>1</v>
      </c>
      <c r="M16" s="26">
        <v>15</v>
      </c>
      <c r="N16" s="26">
        <v>5</v>
      </c>
    </row>
    <row r="17" spans="1:14" x14ac:dyDescent="0.2">
      <c r="A17">
        <v>33.22701129</v>
      </c>
      <c r="B17">
        <v>223.2743093</v>
      </c>
      <c r="C17">
        <v>432.89771669999999</v>
      </c>
      <c r="D17">
        <v>150</v>
      </c>
      <c r="E17">
        <v>70685.834709999996</v>
      </c>
      <c r="F17">
        <v>85</v>
      </c>
      <c r="G17">
        <v>90</v>
      </c>
      <c r="H17">
        <v>175</v>
      </c>
      <c r="I17">
        <v>90</v>
      </c>
      <c r="J17" s="26">
        <v>1</v>
      </c>
      <c r="K17" s="26">
        <v>1</v>
      </c>
      <c r="L17" s="26">
        <v>1</v>
      </c>
      <c r="M17" s="26">
        <v>16</v>
      </c>
      <c r="N17" s="26">
        <v>5</v>
      </c>
    </row>
    <row r="18" spans="1:14" x14ac:dyDescent="0.2">
      <c r="A18">
        <v>26.300035950000002</v>
      </c>
      <c r="B18">
        <v>222.5278319</v>
      </c>
      <c r="C18">
        <v>436.11806790000003</v>
      </c>
      <c r="D18">
        <v>150</v>
      </c>
      <c r="E18">
        <v>70685.834709999996</v>
      </c>
      <c r="F18">
        <v>85</v>
      </c>
      <c r="G18">
        <v>90</v>
      </c>
      <c r="H18">
        <v>175</v>
      </c>
      <c r="I18">
        <v>90</v>
      </c>
      <c r="J18" s="26">
        <v>1</v>
      </c>
      <c r="K18" s="26">
        <v>1</v>
      </c>
      <c r="L18" s="26">
        <v>1</v>
      </c>
      <c r="M18" s="26">
        <v>17</v>
      </c>
      <c r="N18" s="26">
        <v>5</v>
      </c>
    </row>
    <row r="19" spans="1:14" x14ac:dyDescent="0.2">
      <c r="A19">
        <v>19.37306062</v>
      </c>
      <c r="B19">
        <v>221.78135449999999</v>
      </c>
      <c r="C19">
        <v>439.33841910000001</v>
      </c>
      <c r="D19">
        <v>150</v>
      </c>
      <c r="E19">
        <v>70685.834709999996</v>
      </c>
      <c r="F19">
        <v>85</v>
      </c>
      <c r="G19">
        <v>90</v>
      </c>
      <c r="H19">
        <v>175</v>
      </c>
      <c r="I19">
        <v>90</v>
      </c>
      <c r="J19" s="26">
        <v>1</v>
      </c>
      <c r="K19" s="26">
        <v>1</v>
      </c>
      <c r="L19" s="26">
        <v>1</v>
      </c>
      <c r="M19" s="26">
        <v>18</v>
      </c>
      <c r="N19" s="26">
        <v>5</v>
      </c>
    </row>
    <row r="20" spans="1:14" x14ac:dyDescent="0.2">
      <c r="A20">
        <v>4.1337148880000001</v>
      </c>
      <c r="B20">
        <v>220.13910419999999</v>
      </c>
      <c r="C20">
        <v>446.4231916</v>
      </c>
      <c r="D20">
        <v>150</v>
      </c>
      <c r="E20">
        <v>70685.834709999996</v>
      </c>
      <c r="F20">
        <v>85</v>
      </c>
      <c r="G20">
        <v>90</v>
      </c>
      <c r="H20">
        <v>175</v>
      </c>
      <c r="I20">
        <v>90</v>
      </c>
      <c r="J20" s="26">
        <v>1</v>
      </c>
      <c r="K20" s="26">
        <v>1</v>
      </c>
      <c r="L20" s="26">
        <v>1</v>
      </c>
      <c r="M20" s="26">
        <v>19</v>
      </c>
      <c r="N20" s="26">
        <v>5</v>
      </c>
    </row>
    <row r="21" spans="1:14" x14ac:dyDescent="0.2">
      <c r="A21">
        <v>-1.4078653779999999</v>
      </c>
      <c r="B21">
        <v>219.54192230000001</v>
      </c>
      <c r="C21">
        <v>448.99947250000002</v>
      </c>
      <c r="D21">
        <v>150</v>
      </c>
      <c r="E21">
        <v>70685.834709999996</v>
      </c>
      <c r="F21">
        <v>85</v>
      </c>
      <c r="G21">
        <v>90</v>
      </c>
      <c r="H21">
        <v>175</v>
      </c>
      <c r="I21">
        <v>90</v>
      </c>
      <c r="J21" s="26">
        <v>1</v>
      </c>
      <c r="K21" s="26">
        <v>1</v>
      </c>
      <c r="L21" s="26">
        <v>1</v>
      </c>
      <c r="M21" s="26">
        <v>20</v>
      </c>
      <c r="N21" s="26">
        <v>5</v>
      </c>
    </row>
    <row r="22" spans="1:14" x14ac:dyDescent="0.2">
      <c r="A22">
        <v>-8.3348407120000001</v>
      </c>
      <c r="B22">
        <v>218.79544490000001</v>
      </c>
      <c r="C22">
        <v>452.21982370000001</v>
      </c>
      <c r="D22">
        <v>150</v>
      </c>
      <c r="E22">
        <v>70685.834709999996</v>
      </c>
      <c r="F22">
        <v>85</v>
      </c>
      <c r="G22">
        <v>90</v>
      </c>
      <c r="H22">
        <v>175</v>
      </c>
      <c r="I22">
        <v>90</v>
      </c>
      <c r="J22" s="26">
        <v>1</v>
      </c>
      <c r="K22" s="26">
        <v>1</v>
      </c>
      <c r="L22" s="26">
        <v>1</v>
      </c>
      <c r="M22" s="26">
        <v>21</v>
      </c>
      <c r="N22" s="26">
        <v>5</v>
      </c>
    </row>
    <row r="23" spans="1:14" x14ac:dyDescent="0.2">
      <c r="A23">
        <v>-15.261816039999999</v>
      </c>
      <c r="B23">
        <v>218.0489675</v>
      </c>
      <c r="C23">
        <v>455.44017480000002</v>
      </c>
      <c r="D23">
        <v>150</v>
      </c>
      <c r="E23">
        <v>70685.834709999996</v>
      </c>
      <c r="F23">
        <v>85</v>
      </c>
      <c r="G23">
        <v>90</v>
      </c>
      <c r="H23">
        <v>175</v>
      </c>
      <c r="I23">
        <v>90</v>
      </c>
      <c r="J23" s="26">
        <v>1</v>
      </c>
      <c r="K23" s="26">
        <v>1</v>
      </c>
      <c r="L23" s="26">
        <v>1</v>
      </c>
      <c r="M23" s="26">
        <v>22</v>
      </c>
      <c r="N23" s="26">
        <v>5</v>
      </c>
    </row>
    <row r="24" spans="1:14" x14ac:dyDescent="0.2">
      <c r="A24">
        <v>-22.188791380000001</v>
      </c>
      <c r="B24">
        <v>217.3024901</v>
      </c>
      <c r="C24">
        <v>458.660526</v>
      </c>
      <c r="D24">
        <v>150</v>
      </c>
      <c r="E24">
        <v>70685.834709999996</v>
      </c>
      <c r="F24">
        <v>85</v>
      </c>
      <c r="G24">
        <v>90</v>
      </c>
      <c r="H24">
        <v>175</v>
      </c>
      <c r="I24">
        <v>90</v>
      </c>
      <c r="J24" s="26">
        <v>1</v>
      </c>
      <c r="K24" s="26">
        <v>1</v>
      </c>
      <c r="L24" s="26">
        <v>1</v>
      </c>
      <c r="M24" s="26">
        <v>23</v>
      </c>
      <c r="N24" s="26">
        <v>5</v>
      </c>
    </row>
    <row r="25" spans="1:14" x14ac:dyDescent="0.2">
      <c r="A25">
        <v>-29.115766709999999</v>
      </c>
      <c r="B25">
        <v>216.5560127</v>
      </c>
      <c r="C25">
        <v>461.88087710000002</v>
      </c>
      <c r="D25">
        <v>150</v>
      </c>
      <c r="E25">
        <v>70685.834709999996</v>
      </c>
      <c r="F25">
        <v>85</v>
      </c>
      <c r="G25">
        <v>90</v>
      </c>
      <c r="H25">
        <v>175</v>
      </c>
      <c r="I25">
        <v>90</v>
      </c>
      <c r="J25" s="26">
        <v>1</v>
      </c>
      <c r="K25" s="26">
        <v>1</v>
      </c>
      <c r="L25" s="26">
        <v>1</v>
      </c>
      <c r="M25" s="26">
        <v>24</v>
      </c>
      <c r="N25" s="26">
        <v>5</v>
      </c>
    </row>
    <row r="26" spans="1:14" x14ac:dyDescent="0.2">
      <c r="A26">
        <v>-36.04274204</v>
      </c>
      <c r="B26">
        <v>215.80953529999999</v>
      </c>
      <c r="C26">
        <v>465.1012283</v>
      </c>
      <c r="D26">
        <v>150</v>
      </c>
      <c r="E26">
        <v>70685.834709999996</v>
      </c>
      <c r="F26">
        <v>85</v>
      </c>
      <c r="G26">
        <v>90</v>
      </c>
      <c r="H26">
        <v>175</v>
      </c>
      <c r="I26">
        <v>90</v>
      </c>
      <c r="J26" s="26">
        <v>1</v>
      </c>
      <c r="K26" s="26">
        <v>1</v>
      </c>
      <c r="L26" s="26">
        <v>1</v>
      </c>
      <c r="M26" s="26">
        <v>25</v>
      </c>
      <c r="N26" s="26">
        <v>5</v>
      </c>
    </row>
    <row r="27" spans="1:14" x14ac:dyDescent="0.2">
      <c r="A27">
        <v>-42.969717379999999</v>
      </c>
      <c r="B27">
        <v>215.06305789999999</v>
      </c>
      <c r="C27">
        <v>468.32157940000002</v>
      </c>
      <c r="D27">
        <v>150</v>
      </c>
      <c r="E27">
        <v>70685.834709999996</v>
      </c>
      <c r="F27">
        <v>85</v>
      </c>
      <c r="G27">
        <v>90</v>
      </c>
      <c r="H27">
        <v>175</v>
      </c>
      <c r="I27">
        <v>90</v>
      </c>
      <c r="J27" s="26">
        <v>1</v>
      </c>
      <c r="K27" s="26">
        <v>1</v>
      </c>
      <c r="L27" s="26">
        <v>1</v>
      </c>
      <c r="M27" s="26">
        <v>26</v>
      </c>
      <c r="N27" s="26">
        <v>5</v>
      </c>
    </row>
    <row r="28" spans="1:14" x14ac:dyDescent="0.2">
      <c r="A28">
        <v>-56.975868200000001</v>
      </c>
      <c r="B28">
        <v>213.55370139999999</v>
      </c>
      <c r="C28">
        <v>474.83303960000001</v>
      </c>
      <c r="D28">
        <v>150</v>
      </c>
      <c r="E28">
        <v>70685.834709999996</v>
      </c>
      <c r="F28">
        <v>85</v>
      </c>
      <c r="G28">
        <v>90</v>
      </c>
      <c r="H28">
        <v>175</v>
      </c>
      <c r="I28">
        <v>90</v>
      </c>
      <c r="J28" s="26">
        <v>1</v>
      </c>
      <c r="K28" s="26">
        <v>1</v>
      </c>
      <c r="L28" s="26">
        <v>1</v>
      </c>
      <c r="M28" s="26">
        <v>27</v>
      </c>
      <c r="N28" s="26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F3E6C-2728-5B44-8BD5-C264EB467ED8}">
  <dimension ref="A1:I21"/>
  <sheetViews>
    <sheetView workbookViewId="0">
      <selection activeCell="K35" sqref="K35"/>
    </sheetView>
  </sheetViews>
  <sheetFormatPr baseColWidth="10" defaultRowHeight="16" x14ac:dyDescent="0.2"/>
  <sheetData>
    <row r="1" spans="1:9" x14ac:dyDescent="0.2">
      <c r="A1" t="s">
        <v>100</v>
      </c>
    </row>
    <row r="3" spans="1:9" x14ac:dyDescent="0.2">
      <c r="A3" t="s">
        <v>71</v>
      </c>
      <c r="B3" t="s">
        <v>98</v>
      </c>
      <c r="C3" t="s">
        <v>99</v>
      </c>
      <c r="D3" t="s">
        <v>57</v>
      </c>
      <c r="E3" t="s">
        <v>72</v>
      </c>
    </row>
    <row r="4" spans="1:9" x14ac:dyDescent="0.2">
      <c r="A4">
        <v>1</v>
      </c>
      <c r="B4">
        <v>374.80198453970002</v>
      </c>
      <c r="C4">
        <v>260.07934909490001</v>
      </c>
      <c r="D4">
        <v>224.10357772610001</v>
      </c>
      <c r="E4" t="s">
        <v>75</v>
      </c>
      <c r="G4">
        <f>B4-B20</f>
        <v>459.17456718050005</v>
      </c>
      <c r="H4">
        <f>C4-C20</f>
        <v>49.4884334013</v>
      </c>
      <c r="I4">
        <f>D4-D20</f>
        <v>-213.47429754079997</v>
      </c>
    </row>
    <row r="5" spans="1:9" x14ac:dyDescent="0.2">
      <c r="A5">
        <v>2</v>
      </c>
      <c r="B5">
        <v>308.94566901000002</v>
      </c>
      <c r="C5">
        <v>252.98155640760001</v>
      </c>
      <c r="D5">
        <v>254.72075842629999</v>
      </c>
      <c r="E5" t="s">
        <v>76</v>
      </c>
    </row>
    <row r="6" spans="1:9" x14ac:dyDescent="0.2">
      <c r="A6">
        <v>3</v>
      </c>
      <c r="B6">
        <v>188.30865158469999</v>
      </c>
      <c r="C6">
        <v>239.97966686640001</v>
      </c>
      <c r="D6">
        <v>310.80596957040001</v>
      </c>
      <c r="E6" t="s">
        <v>78</v>
      </c>
    </row>
    <row r="7" spans="1:9" x14ac:dyDescent="0.2">
      <c r="A7">
        <v>4</v>
      </c>
      <c r="B7">
        <v>172.375346157</v>
      </c>
      <c r="C7">
        <v>238.26242383760001</v>
      </c>
      <c r="D7">
        <v>318.21350349490001</v>
      </c>
      <c r="E7" t="s">
        <v>79</v>
      </c>
    </row>
    <row r="8" spans="1:9" x14ac:dyDescent="0.2">
      <c r="A8">
        <v>5</v>
      </c>
      <c r="B8">
        <v>141.96739551639999</v>
      </c>
      <c r="C8">
        <v>234.9851477258</v>
      </c>
      <c r="D8">
        <v>332.35042737229998</v>
      </c>
      <c r="E8" t="s">
        <v>81</v>
      </c>
    </row>
    <row r="9" spans="1:9" x14ac:dyDescent="0.2">
      <c r="A9">
        <v>6</v>
      </c>
      <c r="B9">
        <v>110.80735748550001</v>
      </c>
      <c r="C9">
        <v>231.62681393060001</v>
      </c>
      <c r="D9">
        <v>346.83700329660002</v>
      </c>
      <c r="E9" t="s">
        <v>83</v>
      </c>
    </row>
    <row r="10" spans="1:9" x14ac:dyDescent="0.2">
      <c r="A10">
        <v>7</v>
      </c>
      <c r="B10">
        <v>84.474621825300005</v>
      </c>
      <c r="C10">
        <v>228.7887520514</v>
      </c>
      <c r="D10">
        <v>359.0793238631</v>
      </c>
      <c r="E10" t="s">
        <v>84</v>
      </c>
    </row>
    <row r="11" spans="1:9" x14ac:dyDescent="0.2">
      <c r="A11">
        <v>8</v>
      </c>
      <c r="B11">
        <v>77.724268567300001</v>
      </c>
      <c r="C11">
        <v>228.06121958</v>
      </c>
      <c r="D11">
        <v>362.21762250350002</v>
      </c>
      <c r="E11" t="s">
        <v>85</v>
      </c>
    </row>
    <row r="12" spans="1:9" x14ac:dyDescent="0.2">
      <c r="A12">
        <v>9</v>
      </c>
      <c r="B12">
        <v>48.819001416500001</v>
      </c>
      <c r="C12">
        <v>224.94589810849999</v>
      </c>
      <c r="D12">
        <v>375.65593560119999</v>
      </c>
      <c r="E12" t="s">
        <v>86</v>
      </c>
    </row>
    <row r="13" spans="1:9" x14ac:dyDescent="0.2">
      <c r="A13">
        <v>10</v>
      </c>
      <c r="B13">
        <v>7.9018287892999997</v>
      </c>
      <c r="C13">
        <v>220.5359701262</v>
      </c>
      <c r="D13">
        <v>394.67868927320001</v>
      </c>
      <c r="E13" t="s">
        <v>87</v>
      </c>
    </row>
    <row r="14" spans="1:9" x14ac:dyDescent="0.2">
      <c r="A14">
        <v>11</v>
      </c>
      <c r="B14">
        <v>-5.4186881145000001</v>
      </c>
      <c r="C14">
        <v>219.10032547</v>
      </c>
      <c r="D14">
        <v>400.87151481759997</v>
      </c>
      <c r="E14" t="s">
        <v>88</v>
      </c>
    </row>
    <row r="15" spans="1:9" x14ac:dyDescent="0.2">
      <c r="A15">
        <v>12</v>
      </c>
      <c r="B15">
        <v>-12.3288929874</v>
      </c>
      <c r="C15">
        <v>218.3555646794</v>
      </c>
      <c r="D15">
        <v>404.08412988060002</v>
      </c>
      <c r="E15" t="s">
        <v>89</v>
      </c>
    </row>
    <row r="16" spans="1:9" x14ac:dyDescent="0.2">
      <c r="A16">
        <v>13</v>
      </c>
      <c r="B16">
        <v>-19.130316156599999</v>
      </c>
      <c r="C16">
        <v>217.62252804889999</v>
      </c>
      <c r="D16">
        <v>407.24617137220002</v>
      </c>
      <c r="E16" t="s">
        <v>90</v>
      </c>
    </row>
    <row r="17" spans="1:5" x14ac:dyDescent="0.2">
      <c r="A17">
        <v>14</v>
      </c>
      <c r="B17">
        <v>-25.809819368900001</v>
      </c>
      <c r="C17">
        <v>216.90263157929999</v>
      </c>
      <c r="D17">
        <v>410.35153120289999</v>
      </c>
      <c r="E17" t="s">
        <v>91</v>
      </c>
    </row>
    <row r="18" spans="1:5" x14ac:dyDescent="0.2">
      <c r="A18">
        <v>15</v>
      </c>
      <c r="B18">
        <v>-31.762001190100001</v>
      </c>
      <c r="C18">
        <v>216.26112358930001</v>
      </c>
      <c r="D18">
        <v>413.11875291749999</v>
      </c>
      <c r="E18" t="s">
        <v>92</v>
      </c>
    </row>
    <row r="19" spans="1:5" x14ac:dyDescent="0.2">
      <c r="A19">
        <v>16</v>
      </c>
      <c r="B19">
        <v>-43.698428071899997</v>
      </c>
      <c r="C19">
        <v>214.97465193119999</v>
      </c>
      <c r="D19">
        <v>418.66810282900002</v>
      </c>
      <c r="E19" t="s">
        <v>93</v>
      </c>
    </row>
    <row r="20" spans="1:5" x14ac:dyDescent="0.2">
      <c r="A20">
        <v>17</v>
      </c>
      <c r="B20">
        <v>-84.372582640800005</v>
      </c>
      <c r="C20">
        <v>210.59091569360001</v>
      </c>
      <c r="D20">
        <v>437.57787526689998</v>
      </c>
      <c r="E20" t="s">
        <v>94</v>
      </c>
    </row>
    <row r="21" spans="1:5" x14ac:dyDescent="0.2">
      <c r="C21">
        <f>AVERAGE(C4:C20)</f>
        <v>227.8855611012176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B6F89-0331-2D48-BCB7-A056D9FCB2C4}">
  <dimension ref="A1:E13"/>
  <sheetViews>
    <sheetView workbookViewId="0">
      <selection activeCell="D35" sqref="D35"/>
    </sheetView>
  </sheetViews>
  <sheetFormatPr baseColWidth="10" defaultRowHeight="16" x14ac:dyDescent="0.2"/>
  <sheetData>
    <row r="1" spans="1:5" x14ac:dyDescent="0.2">
      <c r="A1" t="s">
        <v>100</v>
      </c>
    </row>
    <row r="3" spans="1:5" x14ac:dyDescent="0.2">
      <c r="A3" t="s">
        <v>71</v>
      </c>
      <c r="B3" t="s">
        <v>98</v>
      </c>
      <c r="C3" t="s">
        <v>99</v>
      </c>
      <c r="D3" t="s">
        <v>57</v>
      </c>
      <c r="E3" t="s">
        <v>72</v>
      </c>
    </row>
    <row r="4" spans="1:5" x14ac:dyDescent="0.2">
      <c r="A4">
        <v>1</v>
      </c>
      <c r="B4">
        <v>-72.736123371900007</v>
      </c>
      <c r="C4">
        <v>211.84505775790001</v>
      </c>
      <c r="D4">
        <v>532.16798293869999</v>
      </c>
      <c r="E4" t="s">
        <v>75</v>
      </c>
    </row>
    <row r="5" spans="1:5" x14ac:dyDescent="0.2">
      <c r="A5">
        <v>2</v>
      </c>
      <c r="B5">
        <v>-12.3288929874</v>
      </c>
      <c r="C5">
        <v>218.3555646794</v>
      </c>
      <c r="D5">
        <v>504.08412988060002</v>
      </c>
      <c r="E5" t="s">
        <v>76</v>
      </c>
    </row>
    <row r="6" spans="1:5" x14ac:dyDescent="0.2">
      <c r="A6">
        <v>3</v>
      </c>
      <c r="B6">
        <v>3.8706494933000002</v>
      </c>
      <c r="C6">
        <v>220.1015019253</v>
      </c>
      <c r="D6">
        <v>496.55282000689999</v>
      </c>
      <c r="E6" t="s">
        <v>78</v>
      </c>
    </row>
    <row r="7" spans="1:5" x14ac:dyDescent="0.2">
      <c r="A7">
        <v>4</v>
      </c>
      <c r="B7">
        <v>6.6141229389999996</v>
      </c>
      <c r="C7">
        <v>220.3971851199</v>
      </c>
      <c r="D7">
        <v>495.2773550563</v>
      </c>
      <c r="E7" t="s">
        <v>79</v>
      </c>
    </row>
    <row r="8" spans="1:5" x14ac:dyDescent="0.2">
      <c r="A8">
        <v>5</v>
      </c>
      <c r="B8">
        <v>53.190072593700002</v>
      </c>
      <c r="C8">
        <v>225.41699881900001</v>
      </c>
      <c r="D8">
        <v>473.62378614049999</v>
      </c>
      <c r="E8" t="s">
        <v>81</v>
      </c>
    </row>
    <row r="9" spans="1:5" x14ac:dyDescent="0.2">
      <c r="A9">
        <v>6</v>
      </c>
      <c r="B9">
        <v>104.7623159255</v>
      </c>
      <c r="C9">
        <v>230.9752978013</v>
      </c>
      <c r="D9">
        <v>449.64739632120001</v>
      </c>
      <c r="E9" t="s">
        <v>83</v>
      </c>
    </row>
    <row r="10" spans="1:5" x14ac:dyDescent="0.2">
      <c r="A10">
        <v>7</v>
      </c>
      <c r="B10">
        <v>170.86740974849999</v>
      </c>
      <c r="C10">
        <v>238.09990305380001</v>
      </c>
      <c r="D10">
        <v>418.91455640279997</v>
      </c>
      <c r="E10" t="s">
        <v>84</v>
      </c>
    </row>
    <row r="11" spans="1:5" x14ac:dyDescent="0.2">
      <c r="A11">
        <v>8</v>
      </c>
      <c r="B11">
        <v>188.30865158469999</v>
      </c>
      <c r="C11">
        <v>239.97966686640001</v>
      </c>
      <c r="D11">
        <v>410.80596957040001</v>
      </c>
      <c r="E11" t="s">
        <v>85</v>
      </c>
    </row>
    <row r="12" spans="1:5" x14ac:dyDescent="0.2">
      <c r="A12">
        <v>9</v>
      </c>
      <c r="B12">
        <v>354.7298468948</v>
      </c>
      <c r="C12">
        <v>257.91603536190001</v>
      </c>
      <c r="D12">
        <v>333.4352911748</v>
      </c>
      <c r="E12" t="s">
        <v>86</v>
      </c>
    </row>
    <row r="13" spans="1:5" x14ac:dyDescent="0.2">
      <c r="A13">
        <v>10</v>
      </c>
      <c r="B13">
        <v>374.80198453970002</v>
      </c>
      <c r="C13">
        <v>260.07934909490001</v>
      </c>
      <c r="D13">
        <v>324.10357772610001</v>
      </c>
      <c r="E13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inj_prod_pts</vt:lpstr>
      <vt:lpstr>input for meshing</vt:lpstr>
      <vt:lpstr>inj_pts_case_A</vt:lpstr>
      <vt:lpstr>prod_pts_case_A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 Brendon Munday</dc:creator>
  <cp:lastModifiedBy>Piyush Kumar Kumawat</cp:lastModifiedBy>
  <dcterms:created xsi:type="dcterms:W3CDTF">2025-03-21T16:08:41Z</dcterms:created>
  <dcterms:modified xsi:type="dcterms:W3CDTF">2025-05-21T20:43:37Z</dcterms:modified>
</cp:coreProperties>
</file>